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6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7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ATVIKA JAIN\Downloads\"/>
    </mc:Choice>
  </mc:AlternateContent>
  <xr:revisionPtr revIDLastSave="0" documentId="13_ncr:1_{D7AF873B-B4C7-4ABF-AC83-7F090DD046DA}" xr6:coauthVersionLast="47" xr6:coauthVersionMax="47" xr10:uidLastSave="{00000000-0000-0000-0000-000000000000}"/>
  <bookViews>
    <workbookView xWindow="-110" yWindow="-110" windowWidth="19420" windowHeight="11500" tabRatio="814" firstSheet="12" activeTab="13" xr2:uid="{00000000-000D-0000-FFFF-FFFF00000000}"/>
  </bookViews>
  <sheets>
    <sheet name="Executive_Cover" sheetId="1" r:id="rId1"/>
    <sheet name="CONTROL_Cover" sheetId="2" r:id="rId2"/>
    <sheet name="Parameters" sheetId="3" r:id="rId3"/>
    <sheet name="Entity_Master" sheetId="4" r:id="rId4"/>
    <sheet name="Addresses" sheetId="5" r:id="rId5"/>
    <sheet name="Directors_Officers" sheetId="6" r:id="rId6"/>
    <sheet name="UBO_Register" sheetId="7" r:id="rId7"/>
    <sheet name="Bank_Accounts" sheetId="9" r:id="rId8"/>
    <sheet name="Signatories" sheetId="10" r:id="rId9"/>
    <sheet name="VAT_Regulatory_Matrix" sheetId="11" r:id="rId10"/>
    <sheet name="CT_Regulatory_Matrix" sheetId="12" r:id="rId11"/>
    <sheet name="Licenses_Regulatory" sheetId="17" r:id="rId12"/>
    <sheet name="Auditors" sheetId="8" r:id="rId13"/>
    <sheet name="Document_Control" sheetId="14" r:id="rId14"/>
    <sheet name="Controls_Log" sheetId="16" r:id="rId15"/>
    <sheet name="Top_10_Issues" sheetId="20" r:id="rId16"/>
    <sheet name="Renewal_Calendar" sheetId="18" r:id="rId17"/>
    <sheet name="Governance_Dashboard" sheetId="13" r:id="rId18"/>
    <sheet name="Board_Pack" sheetId="19" r:id="rId19"/>
    <sheet name="Risk_Heatmap" sheetId="21" r:id="rId20"/>
  </sheets>
  <definedNames>
    <definedName name="AccountType">Parameters!$O$5:$O$9</definedName>
    <definedName name="AddressType">Parameters!$R$5:$R$7</definedName>
    <definedName name="AsOfDate">CONTROL_Cover!$B$3</definedName>
    <definedName name="Audit_Status">Parameters!$B$4:$B$9</definedName>
    <definedName name="AuditStatus">Parameters!$F$5:$F$9</definedName>
    <definedName name="BankAccountIDList">Bank_Accounts!$A$2:$A$1000</definedName>
    <definedName name="BankAccountStatus">Parameters!$N$5:$N$9</definedName>
    <definedName name="Control_Status">Parameters!$I$4:$I$7</definedName>
    <definedName name="ControlRiskRating">Parameters!$U$5:$U$7</definedName>
    <definedName name="ControlStatus">Parameters!$T$5:$T$8</definedName>
    <definedName name="Currency">Parameters!$F$4:$F$10</definedName>
    <definedName name="DataProtectionRegime">Parameters!$L$5:$L$9</definedName>
    <definedName name="Document_Status">Parameters!$K$4:$K$7</definedName>
    <definedName name="DocumentType">Parameters!$S$5:$S$17</definedName>
    <definedName name="Entity_Status">Parameters!$D$4:$D$8</definedName>
    <definedName name="EntityIDList">Entity_Master!$A$2:$A$1000</definedName>
    <definedName name="EntityStatus">Parameters!$H$5:$H$9</definedName>
    <definedName name="Filing_Frequency">Parameters!$G$4:$G$8</definedName>
    <definedName name="FilingFrequency">Parameters!$K$5:$K$9</definedName>
    <definedName name="Jurisdiction">Parameters!$A$4:$A$13</definedName>
    <definedName name="JurisdictionList">Parameters!$A$5:$A$10</definedName>
    <definedName name="JurisdictionTable">Parameters!$A$5:$D$10</definedName>
    <definedName name="Risk_Rating">Parameters!$J$4:$J$7</definedName>
    <definedName name="Role">Parameters!$M$5:$M$10</definedName>
    <definedName name="Signing_Authority">Parameters!$H$4:$H$7</definedName>
    <definedName name="SigningAuthority">Parameters!$P$5:$P$9</definedName>
    <definedName name="Tax_Regime">Parameters!$C$4:$C$9</definedName>
    <definedName name="TaxFilingStatus">Parameters!$Q$5:$Q$8</definedName>
    <definedName name="TaxRegime">Parameters!$G$5:$G$10</definedName>
    <definedName name="Yes_No">Parameters!$E$4:$E$5</definedName>
    <definedName name="YesNo">Parameters!$I$5:$I$6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2" l="1"/>
  <c r="L5" i="12" s="1"/>
  <c r="J7" i="12"/>
  <c r="J8" i="12"/>
  <c r="J9" i="12"/>
  <c r="J10" i="12"/>
  <c r="J11" i="12"/>
  <c r="I2" i="12"/>
  <c r="J2" i="12" s="1"/>
  <c r="I3" i="12"/>
  <c r="K3" i="12" s="1"/>
  <c r="L3" i="12" s="1"/>
  <c r="I4" i="12"/>
  <c r="J4" i="12" s="1"/>
  <c r="I5" i="12"/>
  <c r="J5" i="12" s="1"/>
  <c r="I6" i="12"/>
  <c r="J6" i="12" s="1"/>
  <c r="I7" i="12"/>
  <c r="K7" i="12" s="1"/>
  <c r="L7" i="12" s="1"/>
  <c r="I8" i="12"/>
  <c r="K8" i="12" s="1"/>
  <c r="L8" i="12" s="1"/>
  <c r="I9" i="12"/>
  <c r="K9" i="12" s="1"/>
  <c r="L9" i="12" s="1"/>
  <c r="I10" i="12"/>
  <c r="K10" i="12" s="1"/>
  <c r="L10" i="12" s="1"/>
  <c r="I11" i="12"/>
  <c r="K11" i="12" s="1"/>
  <c r="L11" i="12" s="1"/>
  <c r="I12" i="12"/>
  <c r="J12" i="12" s="1"/>
  <c r="J3" i="12" l="1"/>
  <c r="K6" i="12"/>
  <c r="L6" i="12" s="1"/>
  <c r="K2" i="12"/>
  <c r="K12" i="12"/>
  <c r="L12" i="12" s="1"/>
  <c r="K4" i="12"/>
  <c r="L4" i="12" s="1"/>
  <c r="L2" i="12" l="1"/>
  <c r="B9" i="1"/>
  <c r="B4" i="10" l="1"/>
  <c r="B3" i="10"/>
  <c r="B2" i="10"/>
  <c r="C4" i="9"/>
  <c r="B4" i="9"/>
  <c r="C3" i="9"/>
  <c r="B3" i="9"/>
  <c r="F2" i="5" l="1"/>
  <c r="E2" i="5"/>
  <c r="D2" i="5"/>
  <c r="C2" i="5"/>
  <c r="B2" i="5"/>
  <c r="A2" i="5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B2" i="8"/>
  <c r="A2" i="8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B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2" i="12"/>
  <c r="A12" i="12"/>
  <c r="A3" i="12"/>
  <c r="B3" i="12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B2" i="12"/>
  <c r="A2" i="12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C2" i="9"/>
  <c r="B2" i="9"/>
  <c r="C2" i="7"/>
  <c r="B2" i="7"/>
  <c r="C2" i="6"/>
  <c r="B2" i="6"/>
  <c r="B8" i="21"/>
  <c r="B7" i="21"/>
  <c r="B6" i="21"/>
  <c r="B5" i="21"/>
  <c r="B4" i="21"/>
  <c r="B3" i="21"/>
  <c r="D11" i="20"/>
  <c r="B11" i="20"/>
  <c r="A11" i="20"/>
  <c r="D10" i="20"/>
  <c r="B10" i="20"/>
  <c r="A10" i="20"/>
  <c r="D9" i="20"/>
  <c r="B9" i="20"/>
  <c r="A9" i="20"/>
  <c r="D8" i="20"/>
  <c r="B8" i="20"/>
  <c r="A8" i="20"/>
  <c r="D7" i="20"/>
  <c r="B7" i="20"/>
  <c r="A7" i="20"/>
  <c r="D6" i="20"/>
  <c r="B6" i="20"/>
  <c r="A6" i="20"/>
  <c r="D5" i="20"/>
  <c r="B5" i="20"/>
  <c r="A5" i="20"/>
  <c r="D4" i="20"/>
  <c r="B4" i="20"/>
  <c r="A4" i="20"/>
  <c r="D3" i="20"/>
  <c r="B3" i="20"/>
  <c r="A3" i="20"/>
  <c r="D2" i="20"/>
  <c r="B2" i="20"/>
  <c r="A2" i="20"/>
  <c r="B8" i="19"/>
  <c r="B7" i="19"/>
  <c r="B3" i="19"/>
  <c r="I100" i="18"/>
  <c r="J100" i="18" s="1"/>
  <c r="K100" i="18" s="1"/>
  <c r="D100" i="18"/>
  <c r="I99" i="18"/>
  <c r="J99" i="18" s="1"/>
  <c r="K99" i="18" s="1"/>
  <c r="D99" i="18"/>
  <c r="I98" i="18"/>
  <c r="J98" i="18" s="1"/>
  <c r="K98" i="18" s="1"/>
  <c r="D98" i="18"/>
  <c r="I97" i="18"/>
  <c r="J97" i="18" s="1"/>
  <c r="K97" i="18" s="1"/>
  <c r="D97" i="18"/>
  <c r="I96" i="18"/>
  <c r="J96" i="18" s="1"/>
  <c r="K96" i="18" s="1"/>
  <c r="D96" i="18"/>
  <c r="I95" i="18"/>
  <c r="J95" i="18" s="1"/>
  <c r="K95" i="18" s="1"/>
  <c r="D95" i="18"/>
  <c r="I94" i="18"/>
  <c r="J94" i="18" s="1"/>
  <c r="K94" i="18" s="1"/>
  <c r="D94" i="18"/>
  <c r="I93" i="18"/>
  <c r="J93" i="18" s="1"/>
  <c r="K93" i="18" s="1"/>
  <c r="D93" i="18"/>
  <c r="I92" i="18"/>
  <c r="J92" i="18" s="1"/>
  <c r="K92" i="18" s="1"/>
  <c r="D92" i="18"/>
  <c r="I91" i="18"/>
  <c r="J91" i="18" s="1"/>
  <c r="K91" i="18" s="1"/>
  <c r="D91" i="18"/>
  <c r="I90" i="18"/>
  <c r="J90" i="18" s="1"/>
  <c r="K90" i="18" s="1"/>
  <c r="D90" i="18"/>
  <c r="I89" i="18"/>
  <c r="J89" i="18" s="1"/>
  <c r="K89" i="18" s="1"/>
  <c r="D89" i="18"/>
  <c r="I88" i="18"/>
  <c r="J88" i="18" s="1"/>
  <c r="K88" i="18" s="1"/>
  <c r="D88" i="18"/>
  <c r="I87" i="18"/>
  <c r="J87" i="18" s="1"/>
  <c r="K87" i="18" s="1"/>
  <c r="D87" i="18"/>
  <c r="I86" i="18"/>
  <c r="J86" i="18" s="1"/>
  <c r="K86" i="18" s="1"/>
  <c r="D86" i="18"/>
  <c r="I85" i="18"/>
  <c r="J85" i="18" s="1"/>
  <c r="K85" i="18" s="1"/>
  <c r="D85" i="18"/>
  <c r="I84" i="18"/>
  <c r="J84" i="18" s="1"/>
  <c r="K84" i="18" s="1"/>
  <c r="D84" i="18"/>
  <c r="I83" i="18"/>
  <c r="J83" i="18" s="1"/>
  <c r="K83" i="18" s="1"/>
  <c r="D83" i="18"/>
  <c r="I82" i="18"/>
  <c r="J82" i="18" s="1"/>
  <c r="K82" i="18" s="1"/>
  <c r="D82" i="18"/>
  <c r="I81" i="18"/>
  <c r="J81" i="18" s="1"/>
  <c r="K81" i="18" s="1"/>
  <c r="D81" i="18"/>
  <c r="I80" i="18"/>
  <c r="J80" i="18" s="1"/>
  <c r="K80" i="18" s="1"/>
  <c r="D80" i="18"/>
  <c r="I79" i="18"/>
  <c r="J79" i="18" s="1"/>
  <c r="K79" i="18" s="1"/>
  <c r="D79" i="18"/>
  <c r="I78" i="18"/>
  <c r="J78" i="18" s="1"/>
  <c r="K78" i="18" s="1"/>
  <c r="D78" i="18"/>
  <c r="I77" i="18"/>
  <c r="J77" i="18" s="1"/>
  <c r="K77" i="18" s="1"/>
  <c r="D77" i="18"/>
  <c r="I76" i="18"/>
  <c r="J76" i="18" s="1"/>
  <c r="K76" i="18" s="1"/>
  <c r="D76" i="18"/>
  <c r="I75" i="18"/>
  <c r="J75" i="18" s="1"/>
  <c r="K75" i="18" s="1"/>
  <c r="D75" i="18"/>
  <c r="I74" i="18"/>
  <c r="J74" i="18" s="1"/>
  <c r="K74" i="18" s="1"/>
  <c r="D74" i="18"/>
  <c r="I73" i="18"/>
  <c r="J73" i="18" s="1"/>
  <c r="K73" i="18" s="1"/>
  <c r="D73" i="18"/>
  <c r="I72" i="18"/>
  <c r="J72" i="18" s="1"/>
  <c r="K72" i="18" s="1"/>
  <c r="D72" i="18"/>
  <c r="I71" i="18"/>
  <c r="J71" i="18" s="1"/>
  <c r="K71" i="18" s="1"/>
  <c r="D71" i="18"/>
  <c r="I70" i="18"/>
  <c r="J70" i="18" s="1"/>
  <c r="K70" i="18" s="1"/>
  <c r="D70" i="18"/>
  <c r="I69" i="18"/>
  <c r="J69" i="18" s="1"/>
  <c r="K69" i="18" s="1"/>
  <c r="D69" i="18"/>
  <c r="I68" i="18"/>
  <c r="J68" i="18" s="1"/>
  <c r="K68" i="18" s="1"/>
  <c r="D68" i="18"/>
  <c r="I67" i="18"/>
  <c r="J67" i="18" s="1"/>
  <c r="K67" i="18" s="1"/>
  <c r="D67" i="18"/>
  <c r="I66" i="18"/>
  <c r="J66" i="18" s="1"/>
  <c r="K66" i="18" s="1"/>
  <c r="D66" i="18"/>
  <c r="I65" i="18"/>
  <c r="J65" i="18" s="1"/>
  <c r="K65" i="18" s="1"/>
  <c r="D65" i="18"/>
  <c r="I64" i="18"/>
  <c r="J64" i="18" s="1"/>
  <c r="K64" i="18" s="1"/>
  <c r="D64" i="18"/>
  <c r="I63" i="18"/>
  <c r="J63" i="18" s="1"/>
  <c r="K63" i="18" s="1"/>
  <c r="D63" i="18"/>
  <c r="I62" i="18"/>
  <c r="J62" i="18" s="1"/>
  <c r="K62" i="18" s="1"/>
  <c r="D62" i="18"/>
  <c r="I61" i="18"/>
  <c r="J61" i="18" s="1"/>
  <c r="K61" i="18" s="1"/>
  <c r="D61" i="18"/>
  <c r="I60" i="18"/>
  <c r="J60" i="18" s="1"/>
  <c r="K60" i="18" s="1"/>
  <c r="D60" i="18"/>
  <c r="I59" i="18"/>
  <c r="J59" i="18" s="1"/>
  <c r="K59" i="18" s="1"/>
  <c r="D59" i="18"/>
  <c r="I58" i="18"/>
  <c r="J58" i="18" s="1"/>
  <c r="K58" i="18" s="1"/>
  <c r="D58" i="18"/>
  <c r="I57" i="18"/>
  <c r="J57" i="18" s="1"/>
  <c r="K57" i="18" s="1"/>
  <c r="D57" i="18"/>
  <c r="I56" i="18"/>
  <c r="J56" i="18" s="1"/>
  <c r="K56" i="18" s="1"/>
  <c r="D56" i="18"/>
  <c r="I55" i="18"/>
  <c r="J55" i="18" s="1"/>
  <c r="K55" i="18" s="1"/>
  <c r="D55" i="18"/>
  <c r="I54" i="18"/>
  <c r="J54" i="18" s="1"/>
  <c r="K54" i="18" s="1"/>
  <c r="D54" i="18"/>
  <c r="I53" i="18"/>
  <c r="J53" i="18" s="1"/>
  <c r="K53" i="18" s="1"/>
  <c r="D53" i="18"/>
  <c r="I52" i="18"/>
  <c r="J52" i="18" s="1"/>
  <c r="K52" i="18" s="1"/>
  <c r="D52" i="18"/>
  <c r="I51" i="18"/>
  <c r="J51" i="18" s="1"/>
  <c r="K51" i="18" s="1"/>
  <c r="D51" i="18"/>
  <c r="I50" i="18"/>
  <c r="J50" i="18" s="1"/>
  <c r="K50" i="18" s="1"/>
  <c r="D50" i="18"/>
  <c r="I49" i="18"/>
  <c r="J49" i="18" s="1"/>
  <c r="K49" i="18" s="1"/>
  <c r="D49" i="18"/>
  <c r="I48" i="18"/>
  <c r="J48" i="18" s="1"/>
  <c r="K48" i="18" s="1"/>
  <c r="D48" i="18"/>
  <c r="I47" i="18"/>
  <c r="J47" i="18" s="1"/>
  <c r="K47" i="18" s="1"/>
  <c r="D47" i="18"/>
  <c r="I46" i="18"/>
  <c r="J46" i="18" s="1"/>
  <c r="K46" i="18" s="1"/>
  <c r="D46" i="18"/>
  <c r="I45" i="18"/>
  <c r="J45" i="18" s="1"/>
  <c r="K45" i="18" s="1"/>
  <c r="D45" i="18"/>
  <c r="I44" i="18"/>
  <c r="J44" i="18" s="1"/>
  <c r="K44" i="18" s="1"/>
  <c r="D44" i="18"/>
  <c r="I43" i="18"/>
  <c r="J43" i="18" s="1"/>
  <c r="K43" i="18" s="1"/>
  <c r="D43" i="18"/>
  <c r="I42" i="18"/>
  <c r="J42" i="18" s="1"/>
  <c r="K42" i="18" s="1"/>
  <c r="D42" i="18"/>
  <c r="I41" i="18"/>
  <c r="J41" i="18" s="1"/>
  <c r="K41" i="18" s="1"/>
  <c r="D41" i="18"/>
  <c r="I40" i="18"/>
  <c r="J40" i="18" s="1"/>
  <c r="K40" i="18" s="1"/>
  <c r="D40" i="18"/>
  <c r="I39" i="18"/>
  <c r="J39" i="18" s="1"/>
  <c r="K39" i="18" s="1"/>
  <c r="D39" i="18"/>
  <c r="I38" i="18"/>
  <c r="J38" i="18" s="1"/>
  <c r="K38" i="18" s="1"/>
  <c r="D38" i="18"/>
  <c r="I37" i="18"/>
  <c r="J37" i="18" s="1"/>
  <c r="K37" i="18" s="1"/>
  <c r="D37" i="18"/>
  <c r="I36" i="18"/>
  <c r="J36" i="18" s="1"/>
  <c r="K36" i="18" s="1"/>
  <c r="D36" i="18"/>
  <c r="I35" i="18"/>
  <c r="J35" i="18" s="1"/>
  <c r="K35" i="18" s="1"/>
  <c r="D35" i="18"/>
  <c r="I34" i="18"/>
  <c r="J34" i="18" s="1"/>
  <c r="K34" i="18" s="1"/>
  <c r="D34" i="18"/>
  <c r="I33" i="18"/>
  <c r="J33" i="18" s="1"/>
  <c r="K33" i="18" s="1"/>
  <c r="D33" i="18"/>
  <c r="I32" i="18"/>
  <c r="J32" i="18" s="1"/>
  <c r="K32" i="18" s="1"/>
  <c r="D32" i="18"/>
  <c r="I31" i="18"/>
  <c r="J31" i="18" s="1"/>
  <c r="K31" i="18" s="1"/>
  <c r="D31" i="18"/>
  <c r="I30" i="18"/>
  <c r="J30" i="18" s="1"/>
  <c r="K30" i="18" s="1"/>
  <c r="D30" i="18"/>
  <c r="I29" i="18"/>
  <c r="J29" i="18" s="1"/>
  <c r="K29" i="18" s="1"/>
  <c r="D29" i="18"/>
  <c r="I28" i="18"/>
  <c r="J28" i="18" s="1"/>
  <c r="K28" i="18" s="1"/>
  <c r="D28" i="18"/>
  <c r="I27" i="18"/>
  <c r="J27" i="18" s="1"/>
  <c r="K27" i="18" s="1"/>
  <c r="D27" i="18"/>
  <c r="I26" i="18"/>
  <c r="J26" i="18" s="1"/>
  <c r="K26" i="18" s="1"/>
  <c r="D26" i="18"/>
  <c r="I25" i="18"/>
  <c r="J25" i="18" s="1"/>
  <c r="K25" i="18" s="1"/>
  <c r="D25" i="18"/>
  <c r="I24" i="18"/>
  <c r="J24" i="18" s="1"/>
  <c r="K24" i="18" s="1"/>
  <c r="D24" i="18"/>
  <c r="I23" i="18"/>
  <c r="J23" i="18" s="1"/>
  <c r="K23" i="18" s="1"/>
  <c r="D23" i="18"/>
  <c r="I22" i="18"/>
  <c r="J22" i="18" s="1"/>
  <c r="K22" i="18" s="1"/>
  <c r="D22" i="18"/>
  <c r="D21" i="18"/>
  <c r="D20" i="18"/>
  <c r="D19" i="18"/>
  <c r="D18" i="18"/>
  <c r="D17" i="18"/>
  <c r="D16" i="18"/>
  <c r="D15" i="18"/>
  <c r="D14" i="18"/>
  <c r="D13" i="18"/>
  <c r="D12" i="18"/>
  <c r="D11" i="18"/>
  <c r="C11" i="20" s="1"/>
  <c r="D10" i="18"/>
  <c r="C10" i="20" s="1"/>
  <c r="D9" i="18"/>
  <c r="C9" i="20" s="1"/>
  <c r="D8" i="18"/>
  <c r="C8" i="20" s="1"/>
  <c r="D7" i="18"/>
  <c r="C7" i="20" s="1"/>
  <c r="D6" i="18"/>
  <c r="C6" i="20" s="1"/>
  <c r="D5" i="18"/>
  <c r="C5" i="20" s="1"/>
  <c r="D4" i="18"/>
  <c r="C4" i="20" s="1"/>
  <c r="D3" i="18"/>
  <c r="C3" i="20" s="1"/>
  <c r="D2" i="18"/>
  <c r="C2" i="20" s="1"/>
  <c r="F100" i="17"/>
  <c r="G100" i="17" s="1"/>
  <c r="F99" i="17"/>
  <c r="G99" i="17" s="1"/>
  <c r="F98" i="17"/>
  <c r="G98" i="17" s="1"/>
  <c r="F97" i="17"/>
  <c r="G97" i="17" s="1"/>
  <c r="F96" i="17"/>
  <c r="G96" i="17" s="1"/>
  <c r="F95" i="17"/>
  <c r="G95" i="17" s="1"/>
  <c r="F94" i="17"/>
  <c r="G94" i="17" s="1"/>
  <c r="F93" i="17"/>
  <c r="G93" i="17" s="1"/>
  <c r="F92" i="17"/>
  <c r="G92" i="17" s="1"/>
  <c r="F91" i="17"/>
  <c r="G91" i="17" s="1"/>
  <c r="F90" i="17"/>
  <c r="G90" i="17" s="1"/>
  <c r="F89" i="17"/>
  <c r="G89" i="17" s="1"/>
  <c r="F88" i="17"/>
  <c r="G88" i="17" s="1"/>
  <c r="F87" i="17"/>
  <c r="G87" i="17" s="1"/>
  <c r="F86" i="17"/>
  <c r="G86" i="17" s="1"/>
  <c r="F85" i="17"/>
  <c r="G85" i="17" s="1"/>
  <c r="F84" i="17"/>
  <c r="G84" i="17" s="1"/>
  <c r="F83" i="17"/>
  <c r="G83" i="17" s="1"/>
  <c r="F82" i="17"/>
  <c r="G82" i="17" s="1"/>
  <c r="F81" i="17"/>
  <c r="G81" i="17" s="1"/>
  <c r="F80" i="17"/>
  <c r="G80" i="17" s="1"/>
  <c r="F79" i="17"/>
  <c r="G79" i="17" s="1"/>
  <c r="F78" i="17"/>
  <c r="G78" i="17" s="1"/>
  <c r="F77" i="17"/>
  <c r="G77" i="17" s="1"/>
  <c r="F76" i="17"/>
  <c r="G76" i="17" s="1"/>
  <c r="F75" i="17"/>
  <c r="G75" i="17" s="1"/>
  <c r="F74" i="17"/>
  <c r="G74" i="17" s="1"/>
  <c r="F73" i="17"/>
  <c r="G73" i="17" s="1"/>
  <c r="F72" i="17"/>
  <c r="G72" i="17" s="1"/>
  <c r="F71" i="17"/>
  <c r="G71" i="17" s="1"/>
  <c r="F70" i="17"/>
  <c r="G70" i="17" s="1"/>
  <c r="F69" i="17"/>
  <c r="G69" i="17" s="1"/>
  <c r="F68" i="17"/>
  <c r="G68" i="17" s="1"/>
  <c r="F67" i="17"/>
  <c r="G67" i="17" s="1"/>
  <c r="F66" i="17"/>
  <c r="G66" i="17" s="1"/>
  <c r="F65" i="17"/>
  <c r="G65" i="17" s="1"/>
  <c r="F64" i="17"/>
  <c r="G64" i="17" s="1"/>
  <c r="F63" i="17"/>
  <c r="G63" i="17" s="1"/>
  <c r="F62" i="17"/>
  <c r="G62" i="17" s="1"/>
  <c r="F61" i="17"/>
  <c r="G61" i="17" s="1"/>
  <c r="F60" i="17"/>
  <c r="G60" i="17" s="1"/>
  <c r="F59" i="17"/>
  <c r="G59" i="17" s="1"/>
  <c r="F58" i="17"/>
  <c r="G58" i="17" s="1"/>
  <c r="F57" i="17"/>
  <c r="G57" i="17" s="1"/>
  <c r="F56" i="17"/>
  <c r="G56" i="17" s="1"/>
  <c r="F55" i="17"/>
  <c r="G55" i="17" s="1"/>
  <c r="F54" i="17"/>
  <c r="G54" i="17" s="1"/>
  <c r="F53" i="17"/>
  <c r="G53" i="17" s="1"/>
  <c r="F52" i="17"/>
  <c r="G52" i="17" s="1"/>
  <c r="F51" i="17"/>
  <c r="G51" i="17" s="1"/>
  <c r="F50" i="17"/>
  <c r="G50" i="17" s="1"/>
  <c r="F49" i="17"/>
  <c r="G49" i="17" s="1"/>
  <c r="F48" i="17"/>
  <c r="G48" i="17" s="1"/>
  <c r="F47" i="17"/>
  <c r="G47" i="17" s="1"/>
  <c r="F46" i="17"/>
  <c r="G46" i="17" s="1"/>
  <c r="F45" i="17"/>
  <c r="G45" i="17" s="1"/>
  <c r="F44" i="17"/>
  <c r="G44" i="17" s="1"/>
  <c r="F43" i="17"/>
  <c r="G43" i="17" s="1"/>
  <c r="F42" i="17"/>
  <c r="G42" i="17" s="1"/>
  <c r="F41" i="17"/>
  <c r="G41" i="17" s="1"/>
  <c r="F40" i="17"/>
  <c r="G40" i="17" s="1"/>
  <c r="F39" i="17"/>
  <c r="G39" i="17" s="1"/>
  <c r="F38" i="17"/>
  <c r="G38" i="17" s="1"/>
  <c r="F37" i="17"/>
  <c r="G37" i="17" s="1"/>
  <c r="F36" i="17"/>
  <c r="G36" i="17" s="1"/>
  <c r="F35" i="17"/>
  <c r="G35" i="17" s="1"/>
  <c r="F34" i="17"/>
  <c r="G34" i="17" s="1"/>
  <c r="F33" i="17"/>
  <c r="G33" i="17" s="1"/>
  <c r="F32" i="17"/>
  <c r="G32" i="17" s="1"/>
  <c r="F31" i="17"/>
  <c r="G31" i="17" s="1"/>
  <c r="F30" i="17"/>
  <c r="G30" i="17" s="1"/>
  <c r="F29" i="17"/>
  <c r="G29" i="17" s="1"/>
  <c r="F28" i="17"/>
  <c r="G28" i="17" s="1"/>
  <c r="F27" i="17"/>
  <c r="G27" i="17" s="1"/>
  <c r="F26" i="17"/>
  <c r="G26" i="17" s="1"/>
  <c r="F25" i="17"/>
  <c r="G25" i="17" s="1"/>
  <c r="F24" i="17"/>
  <c r="G24" i="17" s="1"/>
  <c r="F23" i="17"/>
  <c r="G23" i="17" s="1"/>
  <c r="F22" i="17"/>
  <c r="G22" i="17" s="1"/>
  <c r="F21" i="17"/>
  <c r="G21" i="17" s="1"/>
  <c r="F20" i="17"/>
  <c r="G20" i="17" s="1"/>
  <c r="F19" i="17"/>
  <c r="G19" i="17" s="1"/>
  <c r="F18" i="17"/>
  <c r="G18" i="17" s="1"/>
  <c r="F17" i="17"/>
  <c r="G17" i="17" s="1"/>
  <c r="F16" i="17"/>
  <c r="G16" i="17" s="1"/>
  <c r="F15" i="17"/>
  <c r="G15" i="17" s="1"/>
  <c r="F14" i="17"/>
  <c r="G14" i="17" s="1"/>
  <c r="F13" i="17"/>
  <c r="G13" i="17" s="1"/>
  <c r="F12" i="17"/>
  <c r="G12" i="17" s="1"/>
  <c r="F11" i="17"/>
  <c r="G11" i="17" s="1"/>
  <c r="F10" i="17"/>
  <c r="G10" i="17" s="1"/>
  <c r="F9" i="17"/>
  <c r="G9" i="17" s="1"/>
  <c r="F8" i="17"/>
  <c r="G8" i="17" s="1"/>
  <c r="F7" i="17"/>
  <c r="G7" i="17" s="1"/>
  <c r="F6" i="17"/>
  <c r="G6" i="17" s="1"/>
  <c r="F5" i="17"/>
  <c r="G5" i="17" s="1"/>
  <c r="F4" i="17"/>
  <c r="G4" i="17" s="1"/>
  <c r="F3" i="17"/>
  <c r="G3" i="17" s="1"/>
  <c r="F2" i="17"/>
  <c r="G2" i="17" s="1"/>
  <c r="F8" i="13"/>
  <c r="F7" i="13"/>
  <c r="F6" i="13"/>
  <c r="F5" i="13"/>
  <c r="F4" i="13"/>
  <c r="F3" i="13"/>
  <c r="C3" i="13"/>
  <c r="C2" i="13"/>
  <c r="J50" i="11"/>
  <c r="K50" i="11" s="1"/>
  <c r="J49" i="11"/>
  <c r="L49" i="11" s="1"/>
  <c r="M49" i="11" s="1"/>
  <c r="J48" i="11"/>
  <c r="K48" i="11" s="1"/>
  <c r="J47" i="11"/>
  <c r="L47" i="11" s="1"/>
  <c r="M47" i="11" s="1"/>
  <c r="J46" i="11"/>
  <c r="J45" i="11"/>
  <c r="J44" i="11"/>
  <c r="L44" i="11" s="1"/>
  <c r="M44" i="11" s="1"/>
  <c r="J43" i="11"/>
  <c r="K43" i="11" s="1"/>
  <c r="J42" i="11"/>
  <c r="L42" i="11" s="1"/>
  <c r="M42" i="11" s="1"/>
  <c r="J41" i="11"/>
  <c r="L41" i="11" s="1"/>
  <c r="M41" i="11" s="1"/>
  <c r="J40" i="11"/>
  <c r="K40" i="11" s="1"/>
  <c r="J39" i="11"/>
  <c r="L39" i="11" s="1"/>
  <c r="M39" i="11" s="1"/>
  <c r="J38" i="11"/>
  <c r="K38" i="11" s="1"/>
  <c r="J37" i="11"/>
  <c r="K37" i="11" s="1"/>
  <c r="J36" i="11"/>
  <c r="K36" i="11" s="1"/>
  <c r="J35" i="11"/>
  <c r="L35" i="11" s="1"/>
  <c r="M35" i="11" s="1"/>
  <c r="J34" i="11"/>
  <c r="L34" i="11" s="1"/>
  <c r="M34" i="11" s="1"/>
  <c r="J33" i="11"/>
  <c r="L33" i="11" s="1"/>
  <c r="M33" i="11" s="1"/>
  <c r="J32" i="11"/>
  <c r="L32" i="11" s="1"/>
  <c r="M32" i="11" s="1"/>
  <c r="J31" i="11"/>
  <c r="K31" i="11" s="1"/>
  <c r="J30" i="11"/>
  <c r="L30" i="11" s="1"/>
  <c r="M30" i="11" s="1"/>
  <c r="J29" i="11"/>
  <c r="L29" i="11" s="1"/>
  <c r="M29" i="11" s="1"/>
  <c r="J28" i="11"/>
  <c r="L28" i="11" s="1"/>
  <c r="M28" i="11" s="1"/>
  <c r="J27" i="11"/>
  <c r="J26" i="11"/>
  <c r="J25" i="11"/>
  <c r="L25" i="11" s="1"/>
  <c r="M25" i="11" s="1"/>
  <c r="J24" i="11"/>
  <c r="K24" i="11" s="1"/>
  <c r="J23" i="11"/>
  <c r="L23" i="11" s="1"/>
  <c r="M23" i="11" s="1"/>
  <c r="J22" i="11"/>
  <c r="L22" i="11" s="1"/>
  <c r="M22" i="11" s="1"/>
  <c r="J21" i="11"/>
  <c r="L21" i="11" s="1"/>
  <c r="M21" i="11" s="1"/>
  <c r="J20" i="11"/>
  <c r="L20" i="11" s="1"/>
  <c r="M20" i="11" s="1"/>
  <c r="J19" i="11"/>
  <c r="K19" i="11" s="1"/>
  <c r="J18" i="11"/>
  <c r="L18" i="11" s="1"/>
  <c r="M18" i="11" s="1"/>
  <c r="J17" i="11"/>
  <c r="K17" i="11" s="1"/>
  <c r="J16" i="11"/>
  <c r="L16" i="11" s="1"/>
  <c r="M16" i="11" s="1"/>
  <c r="J15" i="11"/>
  <c r="J14" i="11"/>
  <c r="J13" i="11"/>
  <c r="K13" i="11" s="1"/>
  <c r="J12" i="11"/>
  <c r="L12" i="11" s="1"/>
  <c r="M12" i="11" s="1"/>
  <c r="J11" i="11"/>
  <c r="L11" i="11" s="1"/>
  <c r="M11" i="11" s="1"/>
  <c r="J10" i="11"/>
  <c r="L10" i="11" s="1"/>
  <c r="M10" i="11" s="1"/>
  <c r="J9" i="11"/>
  <c r="L9" i="11" s="1"/>
  <c r="M9" i="11" s="1"/>
  <c r="J8" i="11"/>
  <c r="L8" i="11" s="1"/>
  <c r="M8" i="11" s="1"/>
  <c r="J7" i="11"/>
  <c r="K7" i="11" s="1"/>
  <c r="J6" i="11"/>
  <c r="L6" i="11" s="1"/>
  <c r="M6" i="11" s="1"/>
  <c r="J5" i="11"/>
  <c r="K5" i="11" s="1"/>
  <c r="J4" i="11"/>
  <c r="L4" i="11" s="1"/>
  <c r="M4" i="11" s="1"/>
  <c r="J3" i="11"/>
  <c r="F5" i="18" s="1"/>
  <c r="J2" i="11"/>
  <c r="L2" i="11" s="1"/>
  <c r="R1000" i="4"/>
  <c r="Q1000" i="4"/>
  <c r="R999" i="4"/>
  <c r="Q999" i="4"/>
  <c r="R998" i="4"/>
  <c r="Q998" i="4"/>
  <c r="R997" i="4"/>
  <c r="Q997" i="4"/>
  <c r="R996" i="4"/>
  <c r="Q996" i="4"/>
  <c r="R995" i="4"/>
  <c r="Q995" i="4"/>
  <c r="R994" i="4"/>
  <c r="Q994" i="4"/>
  <c r="R993" i="4"/>
  <c r="Q993" i="4"/>
  <c r="R992" i="4"/>
  <c r="Q992" i="4"/>
  <c r="R991" i="4"/>
  <c r="Q991" i="4"/>
  <c r="R990" i="4"/>
  <c r="Q990" i="4"/>
  <c r="R989" i="4"/>
  <c r="Q989" i="4"/>
  <c r="R988" i="4"/>
  <c r="Q988" i="4"/>
  <c r="R987" i="4"/>
  <c r="Q987" i="4"/>
  <c r="R986" i="4"/>
  <c r="Q986" i="4"/>
  <c r="R985" i="4"/>
  <c r="Q985" i="4"/>
  <c r="R984" i="4"/>
  <c r="Q984" i="4"/>
  <c r="R983" i="4"/>
  <c r="Q983" i="4"/>
  <c r="R982" i="4"/>
  <c r="Q982" i="4"/>
  <c r="R981" i="4"/>
  <c r="Q981" i="4"/>
  <c r="R980" i="4"/>
  <c r="Q980" i="4"/>
  <c r="R979" i="4"/>
  <c r="Q979" i="4"/>
  <c r="R978" i="4"/>
  <c r="Q978" i="4"/>
  <c r="R977" i="4"/>
  <c r="Q977" i="4"/>
  <c r="R976" i="4"/>
  <c r="Q976" i="4"/>
  <c r="R975" i="4"/>
  <c r="Q975" i="4"/>
  <c r="R974" i="4"/>
  <c r="Q974" i="4"/>
  <c r="R973" i="4"/>
  <c r="Q973" i="4"/>
  <c r="R972" i="4"/>
  <c r="Q972" i="4"/>
  <c r="R971" i="4"/>
  <c r="Q971" i="4"/>
  <c r="R970" i="4"/>
  <c r="Q970" i="4"/>
  <c r="R969" i="4"/>
  <c r="Q969" i="4"/>
  <c r="R968" i="4"/>
  <c r="Q968" i="4"/>
  <c r="R967" i="4"/>
  <c r="Q967" i="4"/>
  <c r="R966" i="4"/>
  <c r="Q966" i="4"/>
  <c r="R965" i="4"/>
  <c r="Q965" i="4"/>
  <c r="R964" i="4"/>
  <c r="Q964" i="4"/>
  <c r="R963" i="4"/>
  <c r="Q963" i="4"/>
  <c r="R962" i="4"/>
  <c r="Q962" i="4"/>
  <c r="R961" i="4"/>
  <c r="Q961" i="4"/>
  <c r="R960" i="4"/>
  <c r="Q960" i="4"/>
  <c r="R959" i="4"/>
  <c r="Q959" i="4"/>
  <c r="R958" i="4"/>
  <c r="Q958" i="4"/>
  <c r="R957" i="4"/>
  <c r="Q957" i="4"/>
  <c r="R956" i="4"/>
  <c r="Q956" i="4"/>
  <c r="R955" i="4"/>
  <c r="Q955" i="4"/>
  <c r="R954" i="4"/>
  <c r="Q954" i="4"/>
  <c r="R953" i="4"/>
  <c r="Q953" i="4"/>
  <c r="R952" i="4"/>
  <c r="Q952" i="4"/>
  <c r="R951" i="4"/>
  <c r="Q951" i="4"/>
  <c r="R950" i="4"/>
  <c r="Q950" i="4"/>
  <c r="R949" i="4"/>
  <c r="Q949" i="4"/>
  <c r="R948" i="4"/>
  <c r="Q948" i="4"/>
  <c r="R947" i="4"/>
  <c r="Q947" i="4"/>
  <c r="R946" i="4"/>
  <c r="Q946" i="4"/>
  <c r="R945" i="4"/>
  <c r="Q945" i="4"/>
  <c r="R944" i="4"/>
  <c r="Q944" i="4"/>
  <c r="R943" i="4"/>
  <c r="Q943" i="4"/>
  <c r="R942" i="4"/>
  <c r="Q942" i="4"/>
  <c r="R941" i="4"/>
  <c r="Q941" i="4"/>
  <c r="R940" i="4"/>
  <c r="Q940" i="4"/>
  <c r="R939" i="4"/>
  <c r="Q939" i="4"/>
  <c r="R938" i="4"/>
  <c r="Q938" i="4"/>
  <c r="R937" i="4"/>
  <c r="Q937" i="4"/>
  <c r="R936" i="4"/>
  <c r="Q936" i="4"/>
  <c r="R935" i="4"/>
  <c r="Q935" i="4"/>
  <c r="R934" i="4"/>
  <c r="Q934" i="4"/>
  <c r="R933" i="4"/>
  <c r="Q933" i="4"/>
  <c r="R932" i="4"/>
  <c r="Q932" i="4"/>
  <c r="R931" i="4"/>
  <c r="Q931" i="4"/>
  <c r="R930" i="4"/>
  <c r="Q930" i="4"/>
  <c r="R929" i="4"/>
  <c r="Q929" i="4"/>
  <c r="R928" i="4"/>
  <c r="Q928" i="4"/>
  <c r="R927" i="4"/>
  <c r="Q927" i="4"/>
  <c r="R926" i="4"/>
  <c r="Q926" i="4"/>
  <c r="R925" i="4"/>
  <c r="Q925" i="4"/>
  <c r="R924" i="4"/>
  <c r="Q924" i="4"/>
  <c r="R923" i="4"/>
  <c r="Q923" i="4"/>
  <c r="R922" i="4"/>
  <c r="Q922" i="4"/>
  <c r="R921" i="4"/>
  <c r="Q921" i="4"/>
  <c r="R920" i="4"/>
  <c r="Q920" i="4"/>
  <c r="R919" i="4"/>
  <c r="Q919" i="4"/>
  <c r="R918" i="4"/>
  <c r="Q918" i="4"/>
  <c r="R917" i="4"/>
  <c r="Q917" i="4"/>
  <c r="R916" i="4"/>
  <c r="Q916" i="4"/>
  <c r="R915" i="4"/>
  <c r="Q915" i="4"/>
  <c r="R914" i="4"/>
  <c r="Q914" i="4"/>
  <c r="R913" i="4"/>
  <c r="Q913" i="4"/>
  <c r="R912" i="4"/>
  <c r="Q912" i="4"/>
  <c r="R911" i="4"/>
  <c r="Q911" i="4"/>
  <c r="R910" i="4"/>
  <c r="Q910" i="4"/>
  <c r="R909" i="4"/>
  <c r="Q909" i="4"/>
  <c r="R908" i="4"/>
  <c r="Q908" i="4"/>
  <c r="R907" i="4"/>
  <c r="Q907" i="4"/>
  <c r="R906" i="4"/>
  <c r="Q906" i="4"/>
  <c r="R905" i="4"/>
  <c r="Q905" i="4"/>
  <c r="R904" i="4"/>
  <c r="Q904" i="4"/>
  <c r="R903" i="4"/>
  <c r="Q903" i="4"/>
  <c r="R902" i="4"/>
  <c r="Q902" i="4"/>
  <c r="R901" i="4"/>
  <c r="Q901" i="4"/>
  <c r="R900" i="4"/>
  <c r="Q900" i="4"/>
  <c r="R899" i="4"/>
  <c r="Q899" i="4"/>
  <c r="R898" i="4"/>
  <c r="Q898" i="4"/>
  <c r="R897" i="4"/>
  <c r="Q897" i="4"/>
  <c r="R896" i="4"/>
  <c r="Q896" i="4"/>
  <c r="R895" i="4"/>
  <c r="Q895" i="4"/>
  <c r="R894" i="4"/>
  <c r="Q894" i="4"/>
  <c r="R893" i="4"/>
  <c r="Q893" i="4"/>
  <c r="R892" i="4"/>
  <c r="Q892" i="4"/>
  <c r="R891" i="4"/>
  <c r="Q891" i="4"/>
  <c r="R890" i="4"/>
  <c r="Q890" i="4"/>
  <c r="R889" i="4"/>
  <c r="Q889" i="4"/>
  <c r="R888" i="4"/>
  <c r="Q888" i="4"/>
  <c r="R887" i="4"/>
  <c r="Q887" i="4"/>
  <c r="R886" i="4"/>
  <c r="Q886" i="4"/>
  <c r="R885" i="4"/>
  <c r="Q885" i="4"/>
  <c r="R884" i="4"/>
  <c r="Q884" i="4"/>
  <c r="R883" i="4"/>
  <c r="Q883" i="4"/>
  <c r="R882" i="4"/>
  <c r="Q882" i="4"/>
  <c r="R881" i="4"/>
  <c r="Q881" i="4"/>
  <c r="R880" i="4"/>
  <c r="Q880" i="4"/>
  <c r="R879" i="4"/>
  <c r="Q879" i="4"/>
  <c r="R878" i="4"/>
  <c r="Q878" i="4"/>
  <c r="R877" i="4"/>
  <c r="Q877" i="4"/>
  <c r="R876" i="4"/>
  <c r="Q876" i="4"/>
  <c r="R875" i="4"/>
  <c r="Q875" i="4"/>
  <c r="R874" i="4"/>
  <c r="Q874" i="4"/>
  <c r="R873" i="4"/>
  <c r="Q873" i="4"/>
  <c r="R872" i="4"/>
  <c r="Q872" i="4"/>
  <c r="R871" i="4"/>
  <c r="Q871" i="4"/>
  <c r="R870" i="4"/>
  <c r="Q870" i="4"/>
  <c r="R869" i="4"/>
  <c r="Q869" i="4"/>
  <c r="R868" i="4"/>
  <c r="Q868" i="4"/>
  <c r="R867" i="4"/>
  <c r="Q867" i="4"/>
  <c r="R866" i="4"/>
  <c r="Q866" i="4"/>
  <c r="R865" i="4"/>
  <c r="Q865" i="4"/>
  <c r="R864" i="4"/>
  <c r="Q864" i="4"/>
  <c r="R863" i="4"/>
  <c r="Q863" i="4"/>
  <c r="R862" i="4"/>
  <c r="Q862" i="4"/>
  <c r="R861" i="4"/>
  <c r="Q861" i="4"/>
  <c r="R860" i="4"/>
  <c r="Q860" i="4"/>
  <c r="R859" i="4"/>
  <c r="Q859" i="4"/>
  <c r="R858" i="4"/>
  <c r="Q858" i="4"/>
  <c r="R857" i="4"/>
  <c r="Q857" i="4"/>
  <c r="R856" i="4"/>
  <c r="Q856" i="4"/>
  <c r="R855" i="4"/>
  <c r="Q855" i="4"/>
  <c r="R854" i="4"/>
  <c r="Q854" i="4"/>
  <c r="R853" i="4"/>
  <c r="Q853" i="4"/>
  <c r="R852" i="4"/>
  <c r="Q852" i="4"/>
  <c r="R851" i="4"/>
  <c r="Q851" i="4"/>
  <c r="R850" i="4"/>
  <c r="Q850" i="4"/>
  <c r="R849" i="4"/>
  <c r="Q849" i="4"/>
  <c r="R848" i="4"/>
  <c r="Q848" i="4"/>
  <c r="R847" i="4"/>
  <c r="Q847" i="4"/>
  <c r="R846" i="4"/>
  <c r="Q846" i="4"/>
  <c r="R845" i="4"/>
  <c r="Q845" i="4"/>
  <c r="R844" i="4"/>
  <c r="Q844" i="4"/>
  <c r="R843" i="4"/>
  <c r="Q843" i="4"/>
  <c r="R842" i="4"/>
  <c r="Q842" i="4"/>
  <c r="R841" i="4"/>
  <c r="Q841" i="4"/>
  <c r="R840" i="4"/>
  <c r="Q840" i="4"/>
  <c r="R839" i="4"/>
  <c r="Q839" i="4"/>
  <c r="R838" i="4"/>
  <c r="Q838" i="4"/>
  <c r="R837" i="4"/>
  <c r="Q837" i="4"/>
  <c r="R836" i="4"/>
  <c r="Q836" i="4"/>
  <c r="R835" i="4"/>
  <c r="Q835" i="4"/>
  <c r="R834" i="4"/>
  <c r="Q834" i="4"/>
  <c r="R833" i="4"/>
  <c r="Q833" i="4"/>
  <c r="R832" i="4"/>
  <c r="Q832" i="4"/>
  <c r="R831" i="4"/>
  <c r="Q831" i="4"/>
  <c r="R830" i="4"/>
  <c r="Q830" i="4"/>
  <c r="R829" i="4"/>
  <c r="Q829" i="4"/>
  <c r="R828" i="4"/>
  <c r="Q828" i="4"/>
  <c r="R827" i="4"/>
  <c r="Q827" i="4"/>
  <c r="R826" i="4"/>
  <c r="Q826" i="4"/>
  <c r="R825" i="4"/>
  <c r="Q825" i="4"/>
  <c r="R824" i="4"/>
  <c r="Q824" i="4"/>
  <c r="R823" i="4"/>
  <c r="Q823" i="4"/>
  <c r="R822" i="4"/>
  <c r="Q822" i="4"/>
  <c r="R821" i="4"/>
  <c r="Q821" i="4"/>
  <c r="R820" i="4"/>
  <c r="Q820" i="4"/>
  <c r="R819" i="4"/>
  <c r="Q819" i="4"/>
  <c r="R818" i="4"/>
  <c r="Q818" i="4"/>
  <c r="R817" i="4"/>
  <c r="Q817" i="4"/>
  <c r="R816" i="4"/>
  <c r="Q816" i="4"/>
  <c r="R815" i="4"/>
  <c r="Q815" i="4"/>
  <c r="R814" i="4"/>
  <c r="Q814" i="4"/>
  <c r="R813" i="4"/>
  <c r="Q813" i="4"/>
  <c r="R812" i="4"/>
  <c r="Q812" i="4"/>
  <c r="R811" i="4"/>
  <c r="Q811" i="4"/>
  <c r="R810" i="4"/>
  <c r="Q810" i="4"/>
  <c r="R809" i="4"/>
  <c r="Q809" i="4"/>
  <c r="R808" i="4"/>
  <c r="Q808" i="4"/>
  <c r="R807" i="4"/>
  <c r="Q807" i="4"/>
  <c r="R806" i="4"/>
  <c r="Q806" i="4"/>
  <c r="R805" i="4"/>
  <c r="Q805" i="4"/>
  <c r="R804" i="4"/>
  <c r="Q804" i="4"/>
  <c r="R803" i="4"/>
  <c r="Q803" i="4"/>
  <c r="R802" i="4"/>
  <c r="Q802" i="4"/>
  <c r="R801" i="4"/>
  <c r="Q801" i="4"/>
  <c r="R800" i="4"/>
  <c r="Q800" i="4"/>
  <c r="R799" i="4"/>
  <c r="Q799" i="4"/>
  <c r="R798" i="4"/>
  <c r="Q798" i="4"/>
  <c r="R797" i="4"/>
  <c r="Q797" i="4"/>
  <c r="R796" i="4"/>
  <c r="Q796" i="4"/>
  <c r="R795" i="4"/>
  <c r="Q795" i="4"/>
  <c r="R794" i="4"/>
  <c r="Q794" i="4"/>
  <c r="R793" i="4"/>
  <c r="Q793" i="4"/>
  <c r="R792" i="4"/>
  <c r="Q792" i="4"/>
  <c r="R791" i="4"/>
  <c r="Q791" i="4"/>
  <c r="R790" i="4"/>
  <c r="Q790" i="4"/>
  <c r="R789" i="4"/>
  <c r="Q789" i="4"/>
  <c r="R788" i="4"/>
  <c r="Q788" i="4"/>
  <c r="R787" i="4"/>
  <c r="Q787" i="4"/>
  <c r="R786" i="4"/>
  <c r="Q786" i="4"/>
  <c r="R785" i="4"/>
  <c r="Q785" i="4"/>
  <c r="R784" i="4"/>
  <c r="Q784" i="4"/>
  <c r="R783" i="4"/>
  <c r="Q783" i="4"/>
  <c r="R782" i="4"/>
  <c r="Q782" i="4"/>
  <c r="R781" i="4"/>
  <c r="Q781" i="4"/>
  <c r="R780" i="4"/>
  <c r="Q780" i="4"/>
  <c r="R779" i="4"/>
  <c r="Q779" i="4"/>
  <c r="R778" i="4"/>
  <c r="Q778" i="4"/>
  <c r="R777" i="4"/>
  <c r="Q777" i="4"/>
  <c r="R776" i="4"/>
  <c r="Q776" i="4"/>
  <c r="R775" i="4"/>
  <c r="Q775" i="4"/>
  <c r="R774" i="4"/>
  <c r="Q774" i="4"/>
  <c r="R773" i="4"/>
  <c r="Q773" i="4"/>
  <c r="R772" i="4"/>
  <c r="Q772" i="4"/>
  <c r="R771" i="4"/>
  <c r="Q771" i="4"/>
  <c r="R770" i="4"/>
  <c r="Q770" i="4"/>
  <c r="R769" i="4"/>
  <c r="Q769" i="4"/>
  <c r="R768" i="4"/>
  <c r="Q768" i="4"/>
  <c r="R767" i="4"/>
  <c r="Q767" i="4"/>
  <c r="R766" i="4"/>
  <c r="Q766" i="4"/>
  <c r="R765" i="4"/>
  <c r="Q765" i="4"/>
  <c r="R764" i="4"/>
  <c r="Q764" i="4"/>
  <c r="R763" i="4"/>
  <c r="Q763" i="4"/>
  <c r="R762" i="4"/>
  <c r="Q762" i="4"/>
  <c r="R761" i="4"/>
  <c r="Q761" i="4"/>
  <c r="R760" i="4"/>
  <c r="Q760" i="4"/>
  <c r="R759" i="4"/>
  <c r="Q759" i="4"/>
  <c r="R758" i="4"/>
  <c r="Q758" i="4"/>
  <c r="R757" i="4"/>
  <c r="Q757" i="4"/>
  <c r="R756" i="4"/>
  <c r="Q756" i="4"/>
  <c r="R755" i="4"/>
  <c r="Q755" i="4"/>
  <c r="R754" i="4"/>
  <c r="Q754" i="4"/>
  <c r="R753" i="4"/>
  <c r="Q753" i="4"/>
  <c r="R752" i="4"/>
  <c r="Q752" i="4"/>
  <c r="R751" i="4"/>
  <c r="Q751" i="4"/>
  <c r="R750" i="4"/>
  <c r="Q750" i="4"/>
  <c r="R749" i="4"/>
  <c r="Q749" i="4"/>
  <c r="R748" i="4"/>
  <c r="Q748" i="4"/>
  <c r="R747" i="4"/>
  <c r="Q747" i="4"/>
  <c r="R746" i="4"/>
  <c r="Q746" i="4"/>
  <c r="R745" i="4"/>
  <c r="Q745" i="4"/>
  <c r="R744" i="4"/>
  <c r="Q744" i="4"/>
  <c r="R743" i="4"/>
  <c r="Q743" i="4"/>
  <c r="R742" i="4"/>
  <c r="Q742" i="4"/>
  <c r="R741" i="4"/>
  <c r="Q741" i="4"/>
  <c r="R740" i="4"/>
  <c r="Q740" i="4"/>
  <c r="R739" i="4"/>
  <c r="Q739" i="4"/>
  <c r="R738" i="4"/>
  <c r="Q738" i="4"/>
  <c r="R737" i="4"/>
  <c r="Q737" i="4"/>
  <c r="R736" i="4"/>
  <c r="Q736" i="4"/>
  <c r="R735" i="4"/>
  <c r="Q735" i="4"/>
  <c r="R734" i="4"/>
  <c r="Q734" i="4"/>
  <c r="R733" i="4"/>
  <c r="Q733" i="4"/>
  <c r="R732" i="4"/>
  <c r="Q732" i="4"/>
  <c r="R731" i="4"/>
  <c r="Q731" i="4"/>
  <c r="R730" i="4"/>
  <c r="Q730" i="4"/>
  <c r="R729" i="4"/>
  <c r="Q729" i="4"/>
  <c r="R728" i="4"/>
  <c r="Q728" i="4"/>
  <c r="R727" i="4"/>
  <c r="Q727" i="4"/>
  <c r="R726" i="4"/>
  <c r="Q726" i="4"/>
  <c r="R725" i="4"/>
  <c r="Q725" i="4"/>
  <c r="R724" i="4"/>
  <c r="Q724" i="4"/>
  <c r="R723" i="4"/>
  <c r="Q723" i="4"/>
  <c r="R722" i="4"/>
  <c r="Q722" i="4"/>
  <c r="R721" i="4"/>
  <c r="Q721" i="4"/>
  <c r="R720" i="4"/>
  <c r="Q720" i="4"/>
  <c r="R719" i="4"/>
  <c r="Q719" i="4"/>
  <c r="R718" i="4"/>
  <c r="Q718" i="4"/>
  <c r="R717" i="4"/>
  <c r="Q717" i="4"/>
  <c r="R716" i="4"/>
  <c r="Q716" i="4"/>
  <c r="R715" i="4"/>
  <c r="Q715" i="4"/>
  <c r="R714" i="4"/>
  <c r="Q714" i="4"/>
  <c r="R713" i="4"/>
  <c r="Q713" i="4"/>
  <c r="R712" i="4"/>
  <c r="Q712" i="4"/>
  <c r="R711" i="4"/>
  <c r="Q711" i="4"/>
  <c r="R710" i="4"/>
  <c r="Q710" i="4"/>
  <c r="R709" i="4"/>
  <c r="Q709" i="4"/>
  <c r="R708" i="4"/>
  <c r="Q708" i="4"/>
  <c r="R707" i="4"/>
  <c r="Q707" i="4"/>
  <c r="R706" i="4"/>
  <c r="Q706" i="4"/>
  <c r="R705" i="4"/>
  <c r="Q705" i="4"/>
  <c r="R704" i="4"/>
  <c r="Q704" i="4"/>
  <c r="R703" i="4"/>
  <c r="Q703" i="4"/>
  <c r="R702" i="4"/>
  <c r="Q702" i="4"/>
  <c r="R701" i="4"/>
  <c r="Q701" i="4"/>
  <c r="R700" i="4"/>
  <c r="Q700" i="4"/>
  <c r="R699" i="4"/>
  <c r="Q699" i="4"/>
  <c r="R698" i="4"/>
  <c r="Q698" i="4"/>
  <c r="R697" i="4"/>
  <c r="Q697" i="4"/>
  <c r="R696" i="4"/>
  <c r="Q696" i="4"/>
  <c r="R695" i="4"/>
  <c r="Q695" i="4"/>
  <c r="R694" i="4"/>
  <c r="Q694" i="4"/>
  <c r="R693" i="4"/>
  <c r="Q693" i="4"/>
  <c r="R692" i="4"/>
  <c r="Q692" i="4"/>
  <c r="R691" i="4"/>
  <c r="Q691" i="4"/>
  <c r="R690" i="4"/>
  <c r="Q690" i="4"/>
  <c r="R689" i="4"/>
  <c r="Q689" i="4"/>
  <c r="R688" i="4"/>
  <c r="Q688" i="4"/>
  <c r="R687" i="4"/>
  <c r="Q687" i="4"/>
  <c r="R686" i="4"/>
  <c r="Q686" i="4"/>
  <c r="R685" i="4"/>
  <c r="Q685" i="4"/>
  <c r="R684" i="4"/>
  <c r="Q684" i="4"/>
  <c r="R683" i="4"/>
  <c r="Q683" i="4"/>
  <c r="R682" i="4"/>
  <c r="Q682" i="4"/>
  <c r="R681" i="4"/>
  <c r="Q681" i="4"/>
  <c r="R680" i="4"/>
  <c r="Q680" i="4"/>
  <c r="R679" i="4"/>
  <c r="Q679" i="4"/>
  <c r="R678" i="4"/>
  <c r="Q678" i="4"/>
  <c r="R677" i="4"/>
  <c r="Q677" i="4"/>
  <c r="R676" i="4"/>
  <c r="Q676" i="4"/>
  <c r="R675" i="4"/>
  <c r="Q675" i="4"/>
  <c r="R674" i="4"/>
  <c r="Q674" i="4"/>
  <c r="R673" i="4"/>
  <c r="Q673" i="4"/>
  <c r="R672" i="4"/>
  <c r="Q672" i="4"/>
  <c r="R671" i="4"/>
  <c r="Q671" i="4"/>
  <c r="R670" i="4"/>
  <c r="Q670" i="4"/>
  <c r="R669" i="4"/>
  <c r="Q669" i="4"/>
  <c r="R668" i="4"/>
  <c r="Q668" i="4"/>
  <c r="R667" i="4"/>
  <c r="Q667" i="4"/>
  <c r="R666" i="4"/>
  <c r="Q666" i="4"/>
  <c r="R665" i="4"/>
  <c r="Q665" i="4"/>
  <c r="R664" i="4"/>
  <c r="Q664" i="4"/>
  <c r="R663" i="4"/>
  <c r="Q663" i="4"/>
  <c r="R662" i="4"/>
  <c r="Q662" i="4"/>
  <c r="R661" i="4"/>
  <c r="Q661" i="4"/>
  <c r="R660" i="4"/>
  <c r="Q660" i="4"/>
  <c r="R659" i="4"/>
  <c r="Q659" i="4"/>
  <c r="R658" i="4"/>
  <c r="Q658" i="4"/>
  <c r="R657" i="4"/>
  <c r="Q657" i="4"/>
  <c r="R656" i="4"/>
  <c r="Q656" i="4"/>
  <c r="R655" i="4"/>
  <c r="Q655" i="4"/>
  <c r="R654" i="4"/>
  <c r="Q654" i="4"/>
  <c r="R653" i="4"/>
  <c r="Q653" i="4"/>
  <c r="R652" i="4"/>
  <c r="Q652" i="4"/>
  <c r="R651" i="4"/>
  <c r="Q651" i="4"/>
  <c r="R650" i="4"/>
  <c r="Q650" i="4"/>
  <c r="R649" i="4"/>
  <c r="Q649" i="4"/>
  <c r="R648" i="4"/>
  <c r="Q648" i="4"/>
  <c r="R647" i="4"/>
  <c r="Q647" i="4"/>
  <c r="R646" i="4"/>
  <c r="Q646" i="4"/>
  <c r="R645" i="4"/>
  <c r="Q645" i="4"/>
  <c r="R644" i="4"/>
  <c r="Q644" i="4"/>
  <c r="R643" i="4"/>
  <c r="Q643" i="4"/>
  <c r="R642" i="4"/>
  <c r="Q642" i="4"/>
  <c r="R641" i="4"/>
  <c r="Q641" i="4"/>
  <c r="R640" i="4"/>
  <c r="Q640" i="4"/>
  <c r="R639" i="4"/>
  <c r="Q639" i="4"/>
  <c r="R638" i="4"/>
  <c r="Q638" i="4"/>
  <c r="R637" i="4"/>
  <c r="Q637" i="4"/>
  <c r="R636" i="4"/>
  <c r="Q636" i="4"/>
  <c r="R635" i="4"/>
  <c r="Q635" i="4"/>
  <c r="R634" i="4"/>
  <c r="Q634" i="4"/>
  <c r="R633" i="4"/>
  <c r="Q633" i="4"/>
  <c r="R632" i="4"/>
  <c r="Q632" i="4"/>
  <c r="R631" i="4"/>
  <c r="Q631" i="4"/>
  <c r="R630" i="4"/>
  <c r="Q630" i="4"/>
  <c r="R629" i="4"/>
  <c r="Q629" i="4"/>
  <c r="R628" i="4"/>
  <c r="Q628" i="4"/>
  <c r="R627" i="4"/>
  <c r="Q627" i="4"/>
  <c r="R626" i="4"/>
  <c r="Q626" i="4"/>
  <c r="R625" i="4"/>
  <c r="Q625" i="4"/>
  <c r="R624" i="4"/>
  <c r="Q624" i="4"/>
  <c r="R623" i="4"/>
  <c r="Q623" i="4"/>
  <c r="R622" i="4"/>
  <c r="Q622" i="4"/>
  <c r="R621" i="4"/>
  <c r="Q621" i="4"/>
  <c r="R620" i="4"/>
  <c r="Q620" i="4"/>
  <c r="R619" i="4"/>
  <c r="Q619" i="4"/>
  <c r="R618" i="4"/>
  <c r="Q618" i="4"/>
  <c r="R617" i="4"/>
  <c r="Q617" i="4"/>
  <c r="R616" i="4"/>
  <c r="Q616" i="4"/>
  <c r="R615" i="4"/>
  <c r="Q615" i="4"/>
  <c r="R614" i="4"/>
  <c r="Q614" i="4"/>
  <c r="R613" i="4"/>
  <c r="Q613" i="4"/>
  <c r="R612" i="4"/>
  <c r="Q612" i="4"/>
  <c r="R611" i="4"/>
  <c r="Q611" i="4"/>
  <c r="R610" i="4"/>
  <c r="Q610" i="4"/>
  <c r="R609" i="4"/>
  <c r="Q609" i="4"/>
  <c r="R608" i="4"/>
  <c r="Q608" i="4"/>
  <c r="R607" i="4"/>
  <c r="Q607" i="4"/>
  <c r="R606" i="4"/>
  <c r="Q606" i="4"/>
  <c r="R605" i="4"/>
  <c r="Q605" i="4"/>
  <c r="R604" i="4"/>
  <c r="Q604" i="4"/>
  <c r="R603" i="4"/>
  <c r="Q603" i="4"/>
  <c r="R602" i="4"/>
  <c r="Q602" i="4"/>
  <c r="R601" i="4"/>
  <c r="Q601" i="4"/>
  <c r="R600" i="4"/>
  <c r="Q600" i="4"/>
  <c r="R599" i="4"/>
  <c r="Q599" i="4"/>
  <c r="R598" i="4"/>
  <c r="Q598" i="4"/>
  <c r="R597" i="4"/>
  <c r="Q597" i="4"/>
  <c r="R596" i="4"/>
  <c r="Q596" i="4"/>
  <c r="R595" i="4"/>
  <c r="Q595" i="4"/>
  <c r="R594" i="4"/>
  <c r="Q594" i="4"/>
  <c r="R593" i="4"/>
  <c r="Q593" i="4"/>
  <c r="R592" i="4"/>
  <c r="Q592" i="4"/>
  <c r="R591" i="4"/>
  <c r="Q591" i="4"/>
  <c r="R590" i="4"/>
  <c r="Q590" i="4"/>
  <c r="R589" i="4"/>
  <c r="Q589" i="4"/>
  <c r="R588" i="4"/>
  <c r="Q588" i="4"/>
  <c r="R587" i="4"/>
  <c r="Q587" i="4"/>
  <c r="R586" i="4"/>
  <c r="Q586" i="4"/>
  <c r="R585" i="4"/>
  <c r="Q585" i="4"/>
  <c r="R584" i="4"/>
  <c r="Q584" i="4"/>
  <c r="R583" i="4"/>
  <c r="Q583" i="4"/>
  <c r="R582" i="4"/>
  <c r="Q582" i="4"/>
  <c r="R581" i="4"/>
  <c r="Q581" i="4"/>
  <c r="R580" i="4"/>
  <c r="Q580" i="4"/>
  <c r="R579" i="4"/>
  <c r="Q579" i="4"/>
  <c r="R578" i="4"/>
  <c r="Q578" i="4"/>
  <c r="R577" i="4"/>
  <c r="Q577" i="4"/>
  <c r="R576" i="4"/>
  <c r="Q576" i="4"/>
  <c r="R575" i="4"/>
  <c r="Q575" i="4"/>
  <c r="R574" i="4"/>
  <c r="Q574" i="4"/>
  <c r="R573" i="4"/>
  <c r="Q573" i="4"/>
  <c r="R572" i="4"/>
  <c r="Q572" i="4"/>
  <c r="R571" i="4"/>
  <c r="Q571" i="4"/>
  <c r="R570" i="4"/>
  <c r="Q570" i="4"/>
  <c r="R569" i="4"/>
  <c r="Q569" i="4"/>
  <c r="R568" i="4"/>
  <c r="Q568" i="4"/>
  <c r="R567" i="4"/>
  <c r="Q567" i="4"/>
  <c r="R566" i="4"/>
  <c r="Q566" i="4"/>
  <c r="R565" i="4"/>
  <c r="Q565" i="4"/>
  <c r="R564" i="4"/>
  <c r="Q564" i="4"/>
  <c r="R563" i="4"/>
  <c r="Q563" i="4"/>
  <c r="R562" i="4"/>
  <c r="Q562" i="4"/>
  <c r="R561" i="4"/>
  <c r="Q561" i="4"/>
  <c r="R560" i="4"/>
  <c r="Q560" i="4"/>
  <c r="R559" i="4"/>
  <c r="Q559" i="4"/>
  <c r="R558" i="4"/>
  <c r="Q558" i="4"/>
  <c r="R557" i="4"/>
  <c r="Q557" i="4"/>
  <c r="R556" i="4"/>
  <c r="Q556" i="4"/>
  <c r="R555" i="4"/>
  <c r="Q555" i="4"/>
  <c r="R554" i="4"/>
  <c r="Q554" i="4"/>
  <c r="R553" i="4"/>
  <c r="Q553" i="4"/>
  <c r="R552" i="4"/>
  <c r="Q552" i="4"/>
  <c r="R551" i="4"/>
  <c r="Q551" i="4"/>
  <c r="R550" i="4"/>
  <c r="Q550" i="4"/>
  <c r="R549" i="4"/>
  <c r="Q549" i="4"/>
  <c r="R548" i="4"/>
  <c r="Q548" i="4"/>
  <c r="R547" i="4"/>
  <c r="Q547" i="4"/>
  <c r="R546" i="4"/>
  <c r="Q546" i="4"/>
  <c r="R545" i="4"/>
  <c r="Q545" i="4"/>
  <c r="R544" i="4"/>
  <c r="Q544" i="4"/>
  <c r="R543" i="4"/>
  <c r="Q543" i="4"/>
  <c r="R542" i="4"/>
  <c r="Q542" i="4"/>
  <c r="R541" i="4"/>
  <c r="Q541" i="4"/>
  <c r="R540" i="4"/>
  <c r="Q540" i="4"/>
  <c r="R539" i="4"/>
  <c r="Q539" i="4"/>
  <c r="R538" i="4"/>
  <c r="Q538" i="4"/>
  <c r="R537" i="4"/>
  <c r="Q537" i="4"/>
  <c r="R536" i="4"/>
  <c r="Q536" i="4"/>
  <c r="R535" i="4"/>
  <c r="Q535" i="4"/>
  <c r="R534" i="4"/>
  <c r="Q534" i="4"/>
  <c r="R533" i="4"/>
  <c r="Q533" i="4"/>
  <c r="R532" i="4"/>
  <c r="Q532" i="4"/>
  <c r="R531" i="4"/>
  <c r="Q531" i="4"/>
  <c r="R530" i="4"/>
  <c r="Q530" i="4"/>
  <c r="R529" i="4"/>
  <c r="Q529" i="4"/>
  <c r="R528" i="4"/>
  <c r="Q528" i="4"/>
  <c r="R527" i="4"/>
  <c r="Q527" i="4"/>
  <c r="R526" i="4"/>
  <c r="Q526" i="4"/>
  <c r="R525" i="4"/>
  <c r="Q525" i="4"/>
  <c r="R524" i="4"/>
  <c r="Q524" i="4"/>
  <c r="R523" i="4"/>
  <c r="Q523" i="4"/>
  <c r="R522" i="4"/>
  <c r="Q522" i="4"/>
  <c r="R521" i="4"/>
  <c r="Q521" i="4"/>
  <c r="R520" i="4"/>
  <c r="Q520" i="4"/>
  <c r="R519" i="4"/>
  <c r="Q519" i="4"/>
  <c r="R518" i="4"/>
  <c r="Q518" i="4"/>
  <c r="R517" i="4"/>
  <c r="Q517" i="4"/>
  <c r="R516" i="4"/>
  <c r="Q516" i="4"/>
  <c r="R515" i="4"/>
  <c r="Q515" i="4"/>
  <c r="R514" i="4"/>
  <c r="Q514" i="4"/>
  <c r="R513" i="4"/>
  <c r="Q513" i="4"/>
  <c r="R512" i="4"/>
  <c r="Q512" i="4"/>
  <c r="R511" i="4"/>
  <c r="Q511" i="4"/>
  <c r="R510" i="4"/>
  <c r="Q510" i="4"/>
  <c r="R509" i="4"/>
  <c r="Q509" i="4"/>
  <c r="R508" i="4"/>
  <c r="Q508" i="4"/>
  <c r="R507" i="4"/>
  <c r="Q507" i="4"/>
  <c r="R506" i="4"/>
  <c r="Q506" i="4"/>
  <c r="R505" i="4"/>
  <c r="Q505" i="4"/>
  <c r="R504" i="4"/>
  <c r="Q504" i="4"/>
  <c r="R503" i="4"/>
  <c r="Q503" i="4"/>
  <c r="R502" i="4"/>
  <c r="Q502" i="4"/>
  <c r="R501" i="4"/>
  <c r="Q501" i="4"/>
  <c r="R500" i="4"/>
  <c r="Q500" i="4"/>
  <c r="R499" i="4"/>
  <c r="Q499" i="4"/>
  <c r="R498" i="4"/>
  <c r="Q498" i="4"/>
  <c r="R497" i="4"/>
  <c r="Q497" i="4"/>
  <c r="R496" i="4"/>
  <c r="Q496" i="4"/>
  <c r="R495" i="4"/>
  <c r="Q495" i="4"/>
  <c r="R494" i="4"/>
  <c r="Q494" i="4"/>
  <c r="R493" i="4"/>
  <c r="Q493" i="4"/>
  <c r="R492" i="4"/>
  <c r="Q492" i="4"/>
  <c r="R491" i="4"/>
  <c r="Q491" i="4"/>
  <c r="R490" i="4"/>
  <c r="Q490" i="4"/>
  <c r="R489" i="4"/>
  <c r="Q489" i="4"/>
  <c r="R488" i="4"/>
  <c r="Q488" i="4"/>
  <c r="R487" i="4"/>
  <c r="Q487" i="4"/>
  <c r="R486" i="4"/>
  <c r="Q486" i="4"/>
  <c r="R485" i="4"/>
  <c r="Q485" i="4"/>
  <c r="R484" i="4"/>
  <c r="Q484" i="4"/>
  <c r="R483" i="4"/>
  <c r="Q483" i="4"/>
  <c r="R482" i="4"/>
  <c r="Q482" i="4"/>
  <c r="R481" i="4"/>
  <c r="Q481" i="4"/>
  <c r="R480" i="4"/>
  <c r="Q480" i="4"/>
  <c r="R479" i="4"/>
  <c r="Q479" i="4"/>
  <c r="R478" i="4"/>
  <c r="Q478" i="4"/>
  <c r="R477" i="4"/>
  <c r="Q477" i="4"/>
  <c r="R476" i="4"/>
  <c r="Q476" i="4"/>
  <c r="R475" i="4"/>
  <c r="Q475" i="4"/>
  <c r="R474" i="4"/>
  <c r="Q474" i="4"/>
  <c r="R473" i="4"/>
  <c r="Q473" i="4"/>
  <c r="R472" i="4"/>
  <c r="Q472" i="4"/>
  <c r="R471" i="4"/>
  <c r="Q471" i="4"/>
  <c r="R470" i="4"/>
  <c r="Q470" i="4"/>
  <c r="R469" i="4"/>
  <c r="Q469" i="4"/>
  <c r="R468" i="4"/>
  <c r="Q468" i="4"/>
  <c r="R467" i="4"/>
  <c r="Q467" i="4"/>
  <c r="R466" i="4"/>
  <c r="Q466" i="4"/>
  <c r="R465" i="4"/>
  <c r="Q465" i="4"/>
  <c r="R464" i="4"/>
  <c r="Q464" i="4"/>
  <c r="R463" i="4"/>
  <c r="Q463" i="4"/>
  <c r="R462" i="4"/>
  <c r="Q462" i="4"/>
  <c r="R461" i="4"/>
  <c r="Q461" i="4"/>
  <c r="R460" i="4"/>
  <c r="Q460" i="4"/>
  <c r="R459" i="4"/>
  <c r="Q459" i="4"/>
  <c r="R458" i="4"/>
  <c r="Q458" i="4"/>
  <c r="R457" i="4"/>
  <c r="Q457" i="4"/>
  <c r="R456" i="4"/>
  <c r="Q456" i="4"/>
  <c r="R455" i="4"/>
  <c r="Q455" i="4"/>
  <c r="R454" i="4"/>
  <c r="Q454" i="4"/>
  <c r="R453" i="4"/>
  <c r="Q453" i="4"/>
  <c r="R452" i="4"/>
  <c r="Q452" i="4"/>
  <c r="R451" i="4"/>
  <c r="Q451" i="4"/>
  <c r="R450" i="4"/>
  <c r="Q450" i="4"/>
  <c r="R449" i="4"/>
  <c r="Q449" i="4"/>
  <c r="R448" i="4"/>
  <c r="Q448" i="4"/>
  <c r="R447" i="4"/>
  <c r="Q447" i="4"/>
  <c r="R446" i="4"/>
  <c r="Q446" i="4"/>
  <c r="R445" i="4"/>
  <c r="Q445" i="4"/>
  <c r="R444" i="4"/>
  <c r="Q444" i="4"/>
  <c r="R443" i="4"/>
  <c r="Q443" i="4"/>
  <c r="R442" i="4"/>
  <c r="Q442" i="4"/>
  <c r="R441" i="4"/>
  <c r="Q441" i="4"/>
  <c r="R440" i="4"/>
  <c r="Q440" i="4"/>
  <c r="R439" i="4"/>
  <c r="Q439" i="4"/>
  <c r="R438" i="4"/>
  <c r="Q438" i="4"/>
  <c r="R437" i="4"/>
  <c r="Q437" i="4"/>
  <c r="R436" i="4"/>
  <c r="Q436" i="4"/>
  <c r="R435" i="4"/>
  <c r="Q435" i="4"/>
  <c r="R434" i="4"/>
  <c r="Q434" i="4"/>
  <c r="R433" i="4"/>
  <c r="Q433" i="4"/>
  <c r="R432" i="4"/>
  <c r="Q432" i="4"/>
  <c r="R431" i="4"/>
  <c r="Q431" i="4"/>
  <c r="R430" i="4"/>
  <c r="Q430" i="4"/>
  <c r="R429" i="4"/>
  <c r="Q429" i="4"/>
  <c r="R428" i="4"/>
  <c r="Q428" i="4"/>
  <c r="R427" i="4"/>
  <c r="Q427" i="4"/>
  <c r="R426" i="4"/>
  <c r="Q426" i="4"/>
  <c r="R425" i="4"/>
  <c r="Q425" i="4"/>
  <c r="R424" i="4"/>
  <c r="Q424" i="4"/>
  <c r="R423" i="4"/>
  <c r="Q423" i="4"/>
  <c r="R422" i="4"/>
  <c r="Q422" i="4"/>
  <c r="R421" i="4"/>
  <c r="Q421" i="4"/>
  <c r="R420" i="4"/>
  <c r="Q420" i="4"/>
  <c r="R419" i="4"/>
  <c r="Q419" i="4"/>
  <c r="R418" i="4"/>
  <c r="Q418" i="4"/>
  <c r="R417" i="4"/>
  <c r="Q417" i="4"/>
  <c r="R416" i="4"/>
  <c r="Q416" i="4"/>
  <c r="R415" i="4"/>
  <c r="Q415" i="4"/>
  <c r="R414" i="4"/>
  <c r="Q414" i="4"/>
  <c r="R413" i="4"/>
  <c r="Q413" i="4"/>
  <c r="R412" i="4"/>
  <c r="Q412" i="4"/>
  <c r="R411" i="4"/>
  <c r="Q411" i="4"/>
  <c r="R410" i="4"/>
  <c r="Q410" i="4"/>
  <c r="R409" i="4"/>
  <c r="Q409" i="4"/>
  <c r="R408" i="4"/>
  <c r="Q408" i="4"/>
  <c r="R407" i="4"/>
  <c r="Q407" i="4"/>
  <c r="R406" i="4"/>
  <c r="Q406" i="4"/>
  <c r="R405" i="4"/>
  <c r="Q405" i="4"/>
  <c r="R404" i="4"/>
  <c r="Q404" i="4"/>
  <c r="R403" i="4"/>
  <c r="Q403" i="4"/>
  <c r="R402" i="4"/>
  <c r="Q402" i="4"/>
  <c r="R401" i="4"/>
  <c r="Q401" i="4"/>
  <c r="R400" i="4"/>
  <c r="Q400" i="4"/>
  <c r="R399" i="4"/>
  <c r="Q399" i="4"/>
  <c r="R398" i="4"/>
  <c r="Q398" i="4"/>
  <c r="R397" i="4"/>
  <c r="Q397" i="4"/>
  <c r="R396" i="4"/>
  <c r="Q396" i="4"/>
  <c r="R395" i="4"/>
  <c r="Q395" i="4"/>
  <c r="R394" i="4"/>
  <c r="Q394" i="4"/>
  <c r="R393" i="4"/>
  <c r="Q393" i="4"/>
  <c r="R392" i="4"/>
  <c r="Q392" i="4"/>
  <c r="R391" i="4"/>
  <c r="Q391" i="4"/>
  <c r="R390" i="4"/>
  <c r="Q390" i="4"/>
  <c r="R389" i="4"/>
  <c r="Q389" i="4"/>
  <c r="R388" i="4"/>
  <c r="Q388" i="4"/>
  <c r="R387" i="4"/>
  <c r="Q387" i="4"/>
  <c r="R386" i="4"/>
  <c r="Q386" i="4"/>
  <c r="R385" i="4"/>
  <c r="Q385" i="4"/>
  <c r="R384" i="4"/>
  <c r="Q384" i="4"/>
  <c r="R383" i="4"/>
  <c r="Q383" i="4"/>
  <c r="R382" i="4"/>
  <c r="Q382" i="4"/>
  <c r="R381" i="4"/>
  <c r="Q381" i="4"/>
  <c r="R380" i="4"/>
  <c r="Q380" i="4"/>
  <c r="R379" i="4"/>
  <c r="Q379" i="4"/>
  <c r="R378" i="4"/>
  <c r="Q378" i="4"/>
  <c r="R377" i="4"/>
  <c r="Q377" i="4"/>
  <c r="R376" i="4"/>
  <c r="Q376" i="4"/>
  <c r="R375" i="4"/>
  <c r="Q375" i="4"/>
  <c r="R374" i="4"/>
  <c r="Q374" i="4"/>
  <c r="R373" i="4"/>
  <c r="Q373" i="4"/>
  <c r="R372" i="4"/>
  <c r="Q372" i="4"/>
  <c r="R371" i="4"/>
  <c r="Q371" i="4"/>
  <c r="R370" i="4"/>
  <c r="Q370" i="4"/>
  <c r="R369" i="4"/>
  <c r="Q369" i="4"/>
  <c r="R368" i="4"/>
  <c r="Q368" i="4"/>
  <c r="R367" i="4"/>
  <c r="Q367" i="4"/>
  <c r="R366" i="4"/>
  <c r="Q366" i="4"/>
  <c r="R365" i="4"/>
  <c r="Q365" i="4"/>
  <c r="R364" i="4"/>
  <c r="Q364" i="4"/>
  <c r="R363" i="4"/>
  <c r="Q363" i="4"/>
  <c r="R362" i="4"/>
  <c r="Q362" i="4"/>
  <c r="R361" i="4"/>
  <c r="Q361" i="4"/>
  <c r="R360" i="4"/>
  <c r="Q360" i="4"/>
  <c r="R359" i="4"/>
  <c r="Q359" i="4"/>
  <c r="R358" i="4"/>
  <c r="Q358" i="4"/>
  <c r="R357" i="4"/>
  <c r="Q357" i="4"/>
  <c r="R356" i="4"/>
  <c r="Q356" i="4"/>
  <c r="R355" i="4"/>
  <c r="Q355" i="4"/>
  <c r="R354" i="4"/>
  <c r="Q354" i="4"/>
  <c r="R353" i="4"/>
  <c r="Q353" i="4"/>
  <c r="R352" i="4"/>
  <c r="Q352" i="4"/>
  <c r="R351" i="4"/>
  <c r="Q351" i="4"/>
  <c r="R350" i="4"/>
  <c r="Q350" i="4"/>
  <c r="R349" i="4"/>
  <c r="Q349" i="4"/>
  <c r="R348" i="4"/>
  <c r="Q348" i="4"/>
  <c r="R347" i="4"/>
  <c r="Q347" i="4"/>
  <c r="R346" i="4"/>
  <c r="Q346" i="4"/>
  <c r="R345" i="4"/>
  <c r="Q345" i="4"/>
  <c r="R344" i="4"/>
  <c r="Q344" i="4"/>
  <c r="R343" i="4"/>
  <c r="Q343" i="4"/>
  <c r="R342" i="4"/>
  <c r="Q342" i="4"/>
  <c r="R341" i="4"/>
  <c r="Q341" i="4"/>
  <c r="R340" i="4"/>
  <c r="Q340" i="4"/>
  <c r="R339" i="4"/>
  <c r="Q339" i="4"/>
  <c r="R338" i="4"/>
  <c r="Q338" i="4"/>
  <c r="R337" i="4"/>
  <c r="Q337" i="4"/>
  <c r="R336" i="4"/>
  <c r="Q336" i="4"/>
  <c r="R335" i="4"/>
  <c r="Q335" i="4"/>
  <c r="R334" i="4"/>
  <c r="Q334" i="4"/>
  <c r="R333" i="4"/>
  <c r="Q333" i="4"/>
  <c r="R332" i="4"/>
  <c r="Q332" i="4"/>
  <c r="R331" i="4"/>
  <c r="Q331" i="4"/>
  <c r="R330" i="4"/>
  <c r="Q330" i="4"/>
  <c r="R329" i="4"/>
  <c r="Q329" i="4"/>
  <c r="R328" i="4"/>
  <c r="Q328" i="4"/>
  <c r="R327" i="4"/>
  <c r="Q327" i="4"/>
  <c r="R326" i="4"/>
  <c r="Q326" i="4"/>
  <c r="R325" i="4"/>
  <c r="Q325" i="4"/>
  <c r="R324" i="4"/>
  <c r="Q324" i="4"/>
  <c r="R323" i="4"/>
  <c r="Q323" i="4"/>
  <c r="R322" i="4"/>
  <c r="Q322" i="4"/>
  <c r="R321" i="4"/>
  <c r="Q321" i="4"/>
  <c r="R320" i="4"/>
  <c r="Q320" i="4"/>
  <c r="R319" i="4"/>
  <c r="Q319" i="4"/>
  <c r="R318" i="4"/>
  <c r="Q318" i="4"/>
  <c r="R317" i="4"/>
  <c r="Q317" i="4"/>
  <c r="R316" i="4"/>
  <c r="Q316" i="4"/>
  <c r="R315" i="4"/>
  <c r="Q315" i="4"/>
  <c r="R314" i="4"/>
  <c r="Q314" i="4"/>
  <c r="R313" i="4"/>
  <c r="Q313" i="4"/>
  <c r="R312" i="4"/>
  <c r="Q312" i="4"/>
  <c r="R311" i="4"/>
  <c r="Q311" i="4"/>
  <c r="R310" i="4"/>
  <c r="Q310" i="4"/>
  <c r="R309" i="4"/>
  <c r="Q309" i="4"/>
  <c r="R308" i="4"/>
  <c r="Q308" i="4"/>
  <c r="R307" i="4"/>
  <c r="Q307" i="4"/>
  <c r="R306" i="4"/>
  <c r="Q306" i="4"/>
  <c r="R305" i="4"/>
  <c r="Q305" i="4"/>
  <c r="R304" i="4"/>
  <c r="Q304" i="4"/>
  <c r="R303" i="4"/>
  <c r="Q303" i="4"/>
  <c r="R302" i="4"/>
  <c r="Q302" i="4"/>
  <c r="R301" i="4"/>
  <c r="Q301" i="4"/>
  <c r="R300" i="4"/>
  <c r="Q300" i="4"/>
  <c r="R299" i="4"/>
  <c r="Q299" i="4"/>
  <c r="R298" i="4"/>
  <c r="Q298" i="4"/>
  <c r="R297" i="4"/>
  <c r="Q297" i="4"/>
  <c r="R296" i="4"/>
  <c r="Q296" i="4"/>
  <c r="R295" i="4"/>
  <c r="Q295" i="4"/>
  <c r="R294" i="4"/>
  <c r="Q294" i="4"/>
  <c r="R293" i="4"/>
  <c r="Q293" i="4"/>
  <c r="R292" i="4"/>
  <c r="Q292" i="4"/>
  <c r="R291" i="4"/>
  <c r="Q291" i="4"/>
  <c r="R290" i="4"/>
  <c r="Q290" i="4"/>
  <c r="R289" i="4"/>
  <c r="Q289" i="4"/>
  <c r="R288" i="4"/>
  <c r="Q288" i="4"/>
  <c r="R287" i="4"/>
  <c r="Q287" i="4"/>
  <c r="R286" i="4"/>
  <c r="Q286" i="4"/>
  <c r="R285" i="4"/>
  <c r="Q285" i="4"/>
  <c r="R284" i="4"/>
  <c r="Q284" i="4"/>
  <c r="R283" i="4"/>
  <c r="Q283" i="4"/>
  <c r="R282" i="4"/>
  <c r="Q282" i="4"/>
  <c r="R281" i="4"/>
  <c r="Q281" i="4"/>
  <c r="R280" i="4"/>
  <c r="Q280" i="4"/>
  <c r="R279" i="4"/>
  <c r="Q279" i="4"/>
  <c r="R278" i="4"/>
  <c r="Q278" i="4"/>
  <c r="R277" i="4"/>
  <c r="Q277" i="4"/>
  <c r="R276" i="4"/>
  <c r="Q276" i="4"/>
  <c r="R275" i="4"/>
  <c r="Q275" i="4"/>
  <c r="R274" i="4"/>
  <c r="Q274" i="4"/>
  <c r="R273" i="4"/>
  <c r="Q273" i="4"/>
  <c r="R272" i="4"/>
  <c r="Q272" i="4"/>
  <c r="R271" i="4"/>
  <c r="Q271" i="4"/>
  <c r="R270" i="4"/>
  <c r="Q270" i="4"/>
  <c r="R269" i="4"/>
  <c r="Q269" i="4"/>
  <c r="R268" i="4"/>
  <c r="Q268" i="4"/>
  <c r="R267" i="4"/>
  <c r="Q267" i="4"/>
  <c r="R266" i="4"/>
  <c r="Q266" i="4"/>
  <c r="R265" i="4"/>
  <c r="Q265" i="4"/>
  <c r="R264" i="4"/>
  <c r="Q264" i="4"/>
  <c r="R263" i="4"/>
  <c r="Q263" i="4"/>
  <c r="R262" i="4"/>
  <c r="Q262" i="4"/>
  <c r="R261" i="4"/>
  <c r="Q261" i="4"/>
  <c r="R260" i="4"/>
  <c r="Q260" i="4"/>
  <c r="R259" i="4"/>
  <c r="Q259" i="4"/>
  <c r="R258" i="4"/>
  <c r="Q258" i="4"/>
  <c r="R257" i="4"/>
  <c r="Q257" i="4"/>
  <c r="R256" i="4"/>
  <c r="Q256" i="4"/>
  <c r="R255" i="4"/>
  <c r="Q255" i="4"/>
  <c r="R254" i="4"/>
  <c r="Q254" i="4"/>
  <c r="R253" i="4"/>
  <c r="Q253" i="4"/>
  <c r="R252" i="4"/>
  <c r="Q252" i="4"/>
  <c r="R251" i="4"/>
  <c r="Q251" i="4"/>
  <c r="R250" i="4"/>
  <c r="Q250" i="4"/>
  <c r="R249" i="4"/>
  <c r="Q249" i="4"/>
  <c r="R248" i="4"/>
  <c r="Q248" i="4"/>
  <c r="R247" i="4"/>
  <c r="Q247" i="4"/>
  <c r="R246" i="4"/>
  <c r="Q246" i="4"/>
  <c r="R245" i="4"/>
  <c r="Q245" i="4"/>
  <c r="R244" i="4"/>
  <c r="Q244" i="4"/>
  <c r="R243" i="4"/>
  <c r="Q243" i="4"/>
  <c r="R242" i="4"/>
  <c r="Q242" i="4"/>
  <c r="R241" i="4"/>
  <c r="Q241" i="4"/>
  <c r="R240" i="4"/>
  <c r="Q240" i="4"/>
  <c r="R239" i="4"/>
  <c r="Q239" i="4"/>
  <c r="R238" i="4"/>
  <c r="Q238" i="4"/>
  <c r="R237" i="4"/>
  <c r="Q237" i="4"/>
  <c r="R236" i="4"/>
  <c r="Q236" i="4"/>
  <c r="R235" i="4"/>
  <c r="Q235" i="4"/>
  <c r="R234" i="4"/>
  <c r="Q234" i="4"/>
  <c r="R233" i="4"/>
  <c r="Q233" i="4"/>
  <c r="R232" i="4"/>
  <c r="Q232" i="4"/>
  <c r="R231" i="4"/>
  <c r="Q231" i="4"/>
  <c r="R230" i="4"/>
  <c r="Q230" i="4"/>
  <c r="R229" i="4"/>
  <c r="Q229" i="4"/>
  <c r="R228" i="4"/>
  <c r="Q228" i="4"/>
  <c r="R227" i="4"/>
  <c r="Q227" i="4"/>
  <c r="R226" i="4"/>
  <c r="Q226" i="4"/>
  <c r="R225" i="4"/>
  <c r="Q225" i="4"/>
  <c r="R224" i="4"/>
  <c r="Q224" i="4"/>
  <c r="R223" i="4"/>
  <c r="Q223" i="4"/>
  <c r="R222" i="4"/>
  <c r="Q222" i="4"/>
  <c r="R221" i="4"/>
  <c r="Q221" i="4"/>
  <c r="R220" i="4"/>
  <c r="Q220" i="4"/>
  <c r="R219" i="4"/>
  <c r="Q219" i="4"/>
  <c r="R218" i="4"/>
  <c r="Q218" i="4"/>
  <c r="R217" i="4"/>
  <c r="Q217" i="4"/>
  <c r="R216" i="4"/>
  <c r="Q216" i="4"/>
  <c r="R215" i="4"/>
  <c r="Q215" i="4"/>
  <c r="R214" i="4"/>
  <c r="Q214" i="4"/>
  <c r="R213" i="4"/>
  <c r="Q213" i="4"/>
  <c r="R212" i="4"/>
  <c r="Q212" i="4"/>
  <c r="R211" i="4"/>
  <c r="Q211" i="4"/>
  <c r="R210" i="4"/>
  <c r="Q210" i="4"/>
  <c r="R209" i="4"/>
  <c r="Q209" i="4"/>
  <c r="R208" i="4"/>
  <c r="Q208" i="4"/>
  <c r="R207" i="4"/>
  <c r="Q207" i="4"/>
  <c r="R206" i="4"/>
  <c r="Q206" i="4"/>
  <c r="R205" i="4"/>
  <c r="Q205" i="4"/>
  <c r="R204" i="4"/>
  <c r="Q204" i="4"/>
  <c r="R203" i="4"/>
  <c r="Q203" i="4"/>
  <c r="R202" i="4"/>
  <c r="Q202" i="4"/>
  <c r="R201" i="4"/>
  <c r="Q201" i="4"/>
  <c r="R200" i="4"/>
  <c r="Q200" i="4"/>
  <c r="R199" i="4"/>
  <c r="Q199" i="4"/>
  <c r="R198" i="4"/>
  <c r="Q198" i="4"/>
  <c r="R197" i="4"/>
  <c r="Q197" i="4"/>
  <c r="R196" i="4"/>
  <c r="Q196" i="4"/>
  <c r="R195" i="4"/>
  <c r="Q195" i="4"/>
  <c r="R194" i="4"/>
  <c r="Q194" i="4"/>
  <c r="R193" i="4"/>
  <c r="Q193" i="4"/>
  <c r="R192" i="4"/>
  <c r="Q192" i="4"/>
  <c r="R191" i="4"/>
  <c r="Q191" i="4"/>
  <c r="R190" i="4"/>
  <c r="Q190" i="4"/>
  <c r="R189" i="4"/>
  <c r="Q189" i="4"/>
  <c r="R188" i="4"/>
  <c r="Q188" i="4"/>
  <c r="R187" i="4"/>
  <c r="Q187" i="4"/>
  <c r="R186" i="4"/>
  <c r="Q186" i="4"/>
  <c r="R185" i="4"/>
  <c r="Q185" i="4"/>
  <c r="R184" i="4"/>
  <c r="Q184" i="4"/>
  <c r="R183" i="4"/>
  <c r="Q183" i="4"/>
  <c r="R182" i="4"/>
  <c r="Q182" i="4"/>
  <c r="R181" i="4"/>
  <c r="Q181" i="4"/>
  <c r="R180" i="4"/>
  <c r="Q180" i="4"/>
  <c r="R179" i="4"/>
  <c r="Q179" i="4"/>
  <c r="R178" i="4"/>
  <c r="Q178" i="4"/>
  <c r="R177" i="4"/>
  <c r="Q177" i="4"/>
  <c r="R176" i="4"/>
  <c r="Q176" i="4"/>
  <c r="R175" i="4"/>
  <c r="Q175" i="4"/>
  <c r="R174" i="4"/>
  <c r="Q174" i="4"/>
  <c r="R173" i="4"/>
  <c r="Q173" i="4"/>
  <c r="R172" i="4"/>
  <c r="Q172" i="4"/>
  <c r="R171" i="4"/>
  <c r="Q171" i="4"/>
  <c r="R170" i="4"/>
  <c r="Q170" i="4"/>
  <c r="R169" i="4"/>
  <c r="Q169" i="4"/>
  <c r="R168" i="4"/>
  <c r="Q168" i="4"/>
  <c r="R167" i="4"/>
  <c r="Q167" i="4"/>
  <c r="R166" i="4"/>
  <c r="Q166" i="4"/>
  <c r="R165" i="4"/>
  <c r="Q165" i="4"/>
  <c r="R164" i="4"/>
  <c r="Q164" i="4"/>
  <c r="R163" i="4"/>
  <c r="Q163" i="4"/>
  <c r="R162" i="4"/>
  <c r="Q162" i="4"/>
  <c r="R161" i="4"/>
  <c r="Q161" i="4"/>
  <c r="R160" i="4"/>
  <c r="Q160" i="4"/>
  <c r="R159" i="4"/>
  <c r="Q159" i="4"/>
  <c r="R158" i="4"/>
  <c r="Q158" i="4"/>
  <c r="R157" i="4"/>
  <c r="Q157" i="4"/>
  <c r="R156" i="4"/>
  <c r="Q156" i="4"/>
  <c r="R155" i="4"/>
  <c r="Q155" i="4"/>
  <c r="R154" i="4"/>
  <c r="Q154" i="4"/>
  <c r="R153" i="4"/>
  <c r="Q153" i="4"/>
  <c r="R152" i="4"/>
  <c r="Q152" i="4"/>
  <c r="R151" i="4"/>
  <c r="Q151" i="4"/>
  <c r="R150" i="4"/>
  <c r="Q150" i="4"/>
  <c r="R149" i="4"/>
  <c r="Q149" i="4"/>
  <c r="R148" i="4"/>
  <c r="Q148" i="4"/>
  <c r="R147" i="4"/>
  <c r="Q147" i="4"/>
  <c r="R146" i="4"/>
  <c r="Q146" i="4"/>
  <c r="R145" i="4"/>
  <c r="Q145" i="4"/>
  <c r="R144" i="4"/>
  <c r="Q144" i="4"/>
  <c r="R143" i="4"/>
  <c r="Q143" i="4"/>
  <c r="R142" i="4"/>
  <c r="Q142" i="4"/>
  <c r="R141" i="4"/>
  <c r="Q141" i="4"/>
  <c r="R140" i="4"/>
  <c r="Q140" i="4"/>
  <c r="R139" i="4"/>
  <c r="Q139" i="4"/>
  <c r="R138" i="4"/>
  <c r="Q138" i="4"/>
  <c r="R137" i="4"/>
  <c r="Q137" i="4"/>
  <c r="R136" i="4"/>
  <c r="Q136" i="4"/>
  <c r="R135" i="4"/>
  <c r="Q135" i="4"/>
  <c r="R134" i="4"/>
  <c r="Q134" i="4"/>
  <c r="R133" i="4"/>
  <c r="Q133" i="4"/>
  <c r="R132" i="4"/>
  <c r="Q132" i="4"/>
  <c r="R131" i="4"/>
  <c r="Q131" i="4"/>
  <c r="R130" i="4"/>
  <c r="Q130" i="4"/>
  <c r="R129" i="4"/>
  <c r="Q129" i="4"/>
  <c r="R128" i="4"/>
  <c r="Q128" i="4"/>
  <c r="R127" i="4"/>
  <c r="Q127" i="4"/>
  <c r="R126" i="4"/>
  <c r="Q126" i="4"/>
  <c r="R125" i="4"/>
  <c r="Q125" i="4"/>
  <c r="R124" i="4"/>
  <c r="Q124" i="4"/>
  <c r="R123" i="4"/>
  <c r="Q123" i="4"/>
  <c r="R122" i="4"/>
  <c r="Q122" i="4"/>
  <c r="R121" i="4"/>
  <c r="Q121" i="4"/>
  <c r="R120" i="4"/>
  <c r="Q120" i="4"/>
  <c r="R119" i="4"/>
  <c r="Q119" i="4"/>
  <c r="R118" i="4"/>
  <c r="Q118" i="4"/>
  <c r="R117" i="4"/>
  <c r="Q117" i="4"/>
  <c r="R116" i="4"/>
  <c r="Q116" i="4"/>
  <c r="R115" i="4"/>
  <c r="Q115" i="4"/>
  <c r="R114" i="4"/>
  <c r="Q114" i="4"/>
  <c r="R113" i="4"/>
  <c r="Q113" i="4"/>
  <c r="R112" i="4"/>
  <c r="Q112" i="4"/>
  <c r="R111" i="4"/>
  <c r="Q111" i="4"/>
  <c r="R110" i="4"/>
  <c r="Q110" i="4"/>
  <c r="R109" i="4"/>
  <c r="Q109" i="4"/>
  <c r="R108" i="4"/>
  <c r="Q108" i="4"/>
  <c r="R107" i="4"/>
  <c r="Q107" i="4"/>
  <c r="R106" i="4"/>
  <c r="Q106" i="4"/>
  <c r="R105" i="4"/>
  <c r="Q105" i="4"/>
  <c r="R104" i="4"/>
  <c r="Q104" i="4"/>
  <c r="R103" i="4"/>
  <c r="Q103" i="4"/>
  <c r="R102" i="4"/>
  <c r="Q102" i="4"/>
  <c r="R101" i="4"/>
  <c r="Q101" i="4"/>
  <c r="R100" i="4"/>
  <c r="Q100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R92" i="4"/>
  <c r="Q92" i="4"/>
  <c r="R91" i="4"/>
  <c r="Q91" i="4"/>
  <c r="R90" i="4"/>
  <c r="Q90" i="4"/>
  <c r="R89" i="4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R74" i="4"/>
  <c r="Q74" i="4"/>
  <c r="R73" i="4"/>
  <c r="Q73" i="4"/>
  <c r="R72" i="4"/>
  <c r="Q72" i="4"/>
  <c r="R71" i="4"/>
  <c r="Q71" i="4"/>
  <c r="R70" i="4"/>
  <c r="Q70" i="4"/>
  <c r="R69" i="4"/>
  <c r="Q69" i="4"/>
  <c r="R68" i="4"/>
  <c r="Q68" i="4"/>
  <c r="R67" i="4"/>
  <c r="Q67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R59" i="4"/>
  <c r="Q59" i="4"/>
  <c r="R58" i="4"/>
  <c r="Q58" i="4"/>
  <c r="R57" i="4"/>
  <c r="Q57" i="4"/>
  <c r="R56" i="4"/>
  <c r="Q56" i="4"/>
  <c r="R55" i="4"/>
  <c r="Q55" i="4"/>
  <c r="R54" i="4"/>
  <c r="Q54" i="4"/>
  <c r="R53" i="4"/>
  <c r="Q53" i="4"/>
  <c r="R52" i="4"/>
  <c r="Q52" i="4"/>
  <c r="R51" i="4"/>
  <c r="Q51" i="4"/>
  <c r="R50" i="4"/>
  <c r="Q50" i="4"/>
  <c r="R49" i="4"/>
  <c r="Q49" i="4"/>
  <c r="R48" i="4"/>
  <c r="Q48" i="4"/>
  <c r="R47" i="4"/>
  <c r="Q47" i="4"/>
  <c r="R46" i="4"/>
  <c r="Q46" i="4"/>
  <c r="R45" i="4"/>
  <c r="Q45" i="4"/>
  <c r="R44" i="4"/>
  <c r="Q44" i="4"/>
  <c r="R43" i="4"/>
  <c r="Q43" i="4"/>
  <c r="R42" i="4"/>
  <c r="Q42" i="4"/>
  <c r="R41" i="4"/>
  <c r="Q41" i="4"/>
  <c r="R40" i="4"/>
  <c r="Q40" i="4"/>
  <c r="R39" i="4"/>
  <c r="Q39" i="4"/>
  <c r="R38" i="4"/>
  <c r="Q38" i="4"/>
  <c r="R37" i="4"/>
  <c r="Q37" i="4"/>
  <c r="R36" i="4"/>
  <c r="Q36" i="4"/>
  <c r="R35" i="4"/>
  <c r="Q35" i="4"/>
  <c r="R34" i="4"/>
  <c r="Q34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9" i="4"/>
  <c r="Q19" i="4"/>
  <c r="R18" i="4"/>
  <c r="Q18" i="4"/>
  <c r="R17" i="4"/>
  <c r="Q17" i="4"/>
  <c r="R16" i="4"/>
  <c r="Q16" i="4"/>
  <c r="R15" i="4"/>
  <c r="Q15" i="4"/>
  <c r="R14" i="4"/>
  <c r="Q14" i="4"/>
  <c r="R13" i="4"/>
  <c r="Q13" i="4"/>
  <c r="R12" i="4"/>
  <c r="Q12" i="4"/>
  <c r="R11" i="4"/>
  <c r="Q11" i="4"/>
  <c r="R10" i="4"/>
  <c r="Q10" i="4"/>
  <c r="R9" i="4"/>
  <c r="Q9" i="4"/>
  <c r="R8" i="4"/>
  <c r="Q8" i="4"/>
  <c r="R7" i="4"/>
  <c r="Q7" i="4"/>
  <c r="R6" i="4"/>
  <c r="Q6" i="4"/>
  <c r="R5" i="4"/>
  <c r="Q5" i="4"/>
  <c r="R4" i="4"/>
  <c r="Q4" i="4"/>
  <c r="R3" i="4"/>
  <c r="Q3" i="4"/>
  <c r="B10" i="1"/>
  <c r="B7" i="1"/>
  <c r="B3" i="1"/>
  <c r="M2" i="11" l="1"/>
  <c r="L40" i="11"/>
  <c r="M40" i="11" s="1"/>
  <c r="K22" i="11"/>
  <c r="F15" i="18"/>
  <c r="I15" i="18" s="1"/>
  <c r="J15" i="18" s="1"/>
  <c r="K15" i="18" s="1"/>
  <c r="F21" i="18"/>
  <c r="I21" i="18" s="1"/>
  <c r="J21" i="18" s="1"/>
  <c r="K21" i="18" s="1"/>
  <c r="L31" i="11"/>
  <c r="M31" i="11" s="1"/>
  <c r="F16" i="18"/>
  <c r="I16" i="18" s="1"/>
  <c r="J16" i="18" s="1"/>
  <c r="K16" i="18" s="1"/>
  <c r="K34" i="11"/>
  <c r="F9" i="18"/>
  <c r="E9" i="20" s="1"/>
  <c r="F2" i="18"/>
  <c r="E2" i="20" s="1"/>
  <c r="F17" i="18"/>
  <c r="I17" i="18" s="1"/>
  <c r="J17" i="18" s="1"/>
  <c r="K17" i="18" s="1"/>
  <c r="K4" i="11"/>
  <c r="K32" i="11"/>
  <c r="F3" i="18"/>
  <c r="E3" i="20" s="1"/>
  <c r="F11" i="18"/>
  <c r="E11" i="20" s="1"/>
  <c r="F4" i="18"/>
  <c r="E4" i="20" s="1"/>
  <c r="F10" i="18"/>
  <c r="E10" i="20" s="1"/>
  <c r="F14" i="18"/>
  <c r="I14" i="18" s="1"/>
  <c r="J14" i="18" s="1"/>
  <c r="K14" i="18" s="1"/>
  <c r="F6" i="18"/>
  <c r="E6" i="20" s="1"/>
  <c r="F18" i="18"/>
  <c r="I18" i="18" s="1"/>
  <c r="J18" i="18" s="1"/>
  <c r="K18" i="18" s="1"/>
  <c r="F12" i="18"/>
  <c r="I12" i="18" s="1"/>
  <c r="J12" i="18" s="1"/>
  <c r="K12" i="18" s="1"/>
  <c r="F7" i="18"/>
  <c r="E7" i="20" s="1"/>
  <c r="F13" i="18"/>
  <c r="I13" i="18" s="1"/>
  <c r="J13" i="18" s="1"/>
  <c r="K13" i="18" s="1"/>
  <c r="F19" i="18"/>
  <c r="I19" i="18" s="1"/>
  <c r="J19" i="18" s="1"/>
  <c r="K19" i="18" s="1"/>
  <c r="F8" i="18"/>
  <c r="E8" i="20" s="1"/>
  <c r="F20" i="18"/>
  <c r="I20" i="18" s="1"/>
  <c r="J20" i="18" s="1"/>
  <c r="K20" i="18" s="1"/>
  <c r="K16" i="11"/>
  <c r="K6" i="11"/>
  <c r="K23" i="11"/>
  <c r="L13" i="11"/>
  <c r="M13" i="11" s="1"/>
  <c r="L7" i="11"/>
  <c r="M7" i="11" s="1"/>
  <c r="L36" i="11"/>
  <c r="M36" i="11" s="1"/>
  <c r="K10" i="11"/>
  <c r="K28" i="11"/>
  <c r="L37" i="11"/>
  <c r="M37" i="11" s="1"/>
  <c r="K11" i="11"/>
  <c r="K2" i="11"/>
  <c r="L5" i="11"/>
  <c r="M5" i="11" s="1"/>
  <c r="K25" i="11"/>
  <c r="K35" i="11"/>
  <c r="K41" i="11"/>
  <c r="K21" i="11"/>
  <c r="L43" i="11"/>
  <c r="M43" i="11" s="1"/>
  <c r="L19" i="11"/>
  <c r="M19" i="11" s="1"/>
  <c r="K44" i="11"/>
  <c r="L17" i="11"/>
  <c r="M17" i="11" s="1"/>
  <c r="K9" i="11"/>
  <c r="K12" i="11"/>
  <c r="K29" i="11"/>
  <c r="K47" i="11"/>
  <c r="L50" i="11"/>
  <c r="M50" i="11" s="1"/>
  <c r="L38" i="11"/>
  <c r="M38" i="11" s="1"/>
  <c r="K30" i="11"/>
  <c r="L48" i="11"/>
  <c r="M48" i="11" s="1"/>
  <c r="L24" i="11"/>
  <c r="M24" i="11" s="1"/>
  <c r="K33" i="11"/>
  <c r="K49" i="11"/>
  <c r="L15" i="11"/>
  <c r="M15" i="11" s="1"/>
  <c r="K15" i="11"/>
  <c r="L3" i="11"/>
  <c r="M3" i="11" s="1"/>
  <c r="K3" i="11"/>
  <c r="L26" i="11"/>
  <c r="M26" i="11" s="1"/>
  <c r="K26" i="11"/>
  <c r="L27" i="11"/>
  <c r="M27" i="11" s="1"/>
  <c r="K27" i="11"/>
  <c r="L45" i="11"/>
  <c r="M45" i="11" s="1"/>
  <c r="K45" i="11"/>
  <c r="L14" i="11"/>
  <c r="M14" i="11" s="1"/>
  <c r="K14" i="11"/>
  <c r="L46" i="11"/>
  <c r="M46" i="11" s="1"/>
  <c r="K46" i="11"/>
  <c r="K8" i="11"/>
  <c r="K20" i="11"/>
  <c r="K39" i="11"/>
  <c r="K18" i="11"/>
  <c r="K42" i="11"/>
  <c r="E5" i="20"/>
  <c r="I5" i="18"/>
  <c r="B12" i="19"/>
  <c r="B11" i="19"/>
  <c r="B8" i="1" l="1"/>
  <c r="I3" i="18"/>
  <c r="F3" i="20" s="1"/>
  <c r="I11" i="18"/>
  <c r="J11" i="18" s="1"/>
  <c r="K11" i="18" s="1"/>
  <c r="G11" i="20" s="1"/>
  <c r="I4" i="18"/>
  <c r="F4" i="20" s="1"/>
  <c r="I6" i="18"/>
  <c r="J6" i="18" s="1"/>
  <c r="K6" i="18" s="1"/>
  <c r="G6" i="20" s="1"/>
  <c r="I9" i="18"/>
  <c r="J9" i="18" s="1"/>
  <c r="K9" i="18" s="1"/>
  <c r="G9" i="20" s="1"/>
  <c r="I10" i="18"/>
  <c r="F10" i="20" s="1"/>
  <c r="I7" i="18"/>
  <c r="F7" i="20" s="1"/>
  <c r="I8" i="18"/>
  <c r="F8" i="20" s="1"/>
  <c r="I2" i="18"/>
  <c r="F2" i="20" s="1"/>
  <c r="B9" i="19"/>
  <c r="C4" i="13"/>
  <c r="C5" i="13"/>
  <c r="E8" i="19"/>
  <c r="E9" i="19"/>
  <c r="B10" i="19"/>
  <c r="F5" i="20"/>
  <c r="J5" i="18"/>
  <c r="K5" i="18" s="1"/>
  <c r="G5" i="20" s="1"/>
  <c r="E7" i="19"/>
  <c r="J7" i="18" l="1"/>
  <c r="K7" i="18" s="1"/>
  <c r="G7" i="20" s="1"/>
  <c r="F11" i="20"/>
  <c r="J3" i="18"/>
  <c r="K3" i="18" s="1"/>
  <c r="G3" i="20" s="1"/>
  <c r="F9" i="20"/>
  <c r="J10" i="18"/>
  <c r="K10" i="18" s="1"/>
  <c r="G10" i="20" s="1"/>
  <c r="J4" i="18"/>
  <c r="K4" i="18" s="1"/>
  <c r="G4" i="20" s="1"/>
  <c r="F6" i="20"/>
  <c r="J2" i="18"/>
  <c r="K2" i="18" s="1"/>
  <c r="G2" i="20" s="1"/>
  <c r="J8" i="18"/>
  <c r="K8" i="18" s="1"/>
  <c r="G8" i="20" s="1"/>
  <c r="B14" i="19" l="1"/>
  <c r="B11" i="1"/>
  <c r="C7" i="13"/>
  <c r="B13" i="19"/>
  <c r="C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tc={703B22EE-FFD6-4568-9491-6D92F8D19FF3}</author>
  </authors>
  <commentList>
    <comment ref="G5" authorId="0" shapeId="0" xr:uid="{703B22EE-FFD6-4568-9491-6D92F8D19F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Also include the date of purchase of shares of all companies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tc={9BCF0351-826A-4ADE-8011-87FB43BCA27E}</author>
    <author>tc={BCD3D25B-A217-42CE-94B4-6DF87479D653}</author>
  </authors>
  <commentList>
    <comment ref="A2" authorId="0" shapeId="0" xr:uid="{9BCF0351-826A-4ADE-8011-87FB43BCA2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is the use of this sheet?
Reply:
    Can this sheet be a pivot or chart basis other sheet’s data?
Reply:
    We also need to insert a tab for organization chart
Reply:
    Pick audit tracker and put in compliance
</t>
      </text>
    </comment>
    <comment ref="E2" authorId="1" shapeId="0" xr:uid="{BCD3D25B-A217-42CE-94B4-6DF87479D653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this column for?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tc={0A2631BC-DAC7-4B94-8B3B-AE2C17B66E2D}</author>
    <author>tc={AB7DB2EE-39DA-4CCC-9A97-447E65853B9A}</author>
  </authors>
  <commentList>
    <comment ref="D1" authorId="0" shapeId="0" xr:uid="{0A2631BC-DAC7-4B94-8B3B-AE2C17B6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have shareholders here? And lets input the organizaqtion chart as one of the Tabs in this</t>
      </text>
    </comment>
    <comment ref="L1" authorId="1" shapeId="0" xr:uid="{AB7DB2EE-39DA-4CCC-9A97-447E65853B9A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difference between the 3?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tc={97165092-C70C-47E0-BF1E-A58FB0F6A984}</author>
  </authors>
  <commentList>
    <comment ref="A1" authorId="0" shapeId="0" xr:uid="{97165092-C70C-47E0-BF1E-A58FB0F6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these fields from previous sheet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tc={C34DED54-822F-4865-9591-5E0271BF3D4C}</author>
  </authors>
  <commentList>
    <comment ref="D1" authorId="0" shapeId="0" xr:uid="{C34DED54-822F-4865-9591-5E0271BF3D4C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from Helen, and from Javid’s folders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tc={BE65CD37-5385-44A7-8A73-87A9A4C4A787}</author>
  </authors>
  <commentList>
    <comment ref="D1" authorId="0" shapeId="0" xr:uid="{BE65CD37-5385-44A7-8A73-87A9A4C4A787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helen and rest JK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tc={9FE49DAC-237F-4F31-9C94-C5D85E8ECC6A}</author>
  </authors>
  <commentList>
    <comment ref="D2" authorId="0" shapeId="0" xr:uid="{9FE49DAC-237F-4F31-9C94-C5D85E8ECC6A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connect with Mahaveer for this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tc={8D0BCACF-794E-4595-A783-7A573CACF0D8}</author>
    <author>tc={9048C656-9F7A-489A-91EA-864196D9E20E}</author>
  </authors>
  <commentList>
    <comment ref="C10" authorId="0" shapeId="0" xr:uid="{8D0BCACF-794E-4595-A783-7A573CAC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get this info from Claudio</t>
      </text>
    </comment>
    <comment ref="G11" authorId="1" shapeId="0" xr:uid="{9048C656-9F7A-489A-91EA-864196D9E20E}">
      <text>
        <t>[Threaded comment]
Your version of Excel allows you to read this threaded comment; however, any edits to it will get removed if the file is opened in a newer version of Excel. Learn more: https://go.microsoft.com/fwlink/?linkid=870924
Comment:
    Lets change this every year with the audit POC from the audit firm
Reply:
    Currently putting this year audit POC’s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tc={F90CF8CE-B367-43AC-A90F-44734706D03B}</author>
  </authors>
  <commentList>
    <comment ref="A1" authorId="0" shapeId="0" xr:uid="{F90CF8CE-B367-43AC-A90F-44734706D03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 with JK what is this tab about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tc={B0D576AA-3AC5-4EFF-A93B-2054E212FC55}</author>
  </authors>
  <commentList>
    <comment ref="A1" authorId="0" shapeId="0" xr:uid="{B0D576AA-3AC5-4EFF-A93B-2054E212FC55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this tab to the remarks section on any regulatory.</t>
      </text>
    </comment>
  </commentList>
</comments>
</file>

<file path=xl/sharedStrings.xml><?xml version="1.0" encoding="utf-8"?>
<sst xmlns="http://schemas.openxmlformats.org/spreadsheetml/2006/main" count="542" uniqueCount="287">
  <si>
    <t>Reporting Date:</t>
  </si>
  <si>
    <t>Key Risk Indicators</t>
  </si>
  <si>
    <t>Total Entities</t>
  </si>
  <si>
    <t>Overdue Tax Filings</t>
  </si>
  <si>
    <t>Expired Licenses</t>
  </si>
  <si>
    <t>High-Risk Calendar Items</t>
  </si>
  <si>
    <t>As-of Date (for dashboard &amp; compliance calculations)</t>
  </si>
  <si>
    <t>2026-02-06</t>
  </si>
  <si>
    <t>Instructions</t>
  </si>
  <si>
    <t>1) Maintain Entity_Master as the single source of Entity IDs and legal names.</t>
  </si>
  <si>
    <t>2) Use dropdowns (validated fields) wherever available to keep data consistent.</t>
  </si>
  <si>
    <t>3) Insert logos/photos directly into the designated 'Insert Image' cells.</t>
  </si>
  <si>
    <t>4) Use Document_Control to link key statutory, banking and tax documents.</t>
  </si>
  <si>
    <t>5) Dashboard updates automatically based on sheet data.</t>
  </si>
  <si>
    <t>Reference Lists (edit values only)</t>
  </si>
  <si>
    <t>Jurisdiction</t>
  </si>
  <si>
    <t>Audit_Status</t>
  </si>
  <si>
    <t>Entity_Status</t>
  </si>
  <si>
    <t>Yes_No</t>
  </si>
  <si>
    <t>Currency</t>
  </si>
  <si>
    <t>Filing_Frequency</t>
  </si>
  <si>
    <t>Signing_Authority</t>
  </si>
  <si>
    <t>Control_Status</t>
  </si>
  <si>
    <t>Risk_Rating</t>
  </si>
  <si>
    <t>Document_Status</t>
  </si>
  <si>
    <t>UAE</t>
  </si>
  <si>
    <t>Not Required</t>
  </si>
  <si>
    <t>Corporate Tax</t>
  </si>
  <si>
    <t>Active</t>
  </si>
  <si>
    <t>Yes</t>
  </si>
  <si>
    <t>AED</t>
  </si>
  <si>
    <t>Monthly</t>
  </si>
  <si>
    <t>Single</t>
  </si>
  <si>
    <t>Open</t>
  </si>
  <si>
    <t>Low</t>
  </si>
  <si>
    <t>Missing</t>
  </si>
  <si>
    <t>UK</t>
  </si>
  <si>
    <t>Planned</t>
  </si>
  <si>
    <t>Corporation Tax</t>
  </si>
  <si>
    <t>Dormant</t>
  </si>
  <si>
    <t>No</t>
  </si>
  <si>
    <t>EUR</t>
  </si>
  <si>
    <t>Quarterly</t>
  </si>
  <si>
    <t>Joint</t>
  </si>
  <si>
    <t>In Progress</t>
  </si>
  <si>
    <t>Medium</t>
  </si>
  <si>
    <t>Available</t>
  </si>
  <si>
    <t>EU</t>
  </si>
  <si>
    <t>Federal &amp; State Tax</t>
  </si>
  <si>
    <t>Incorporation</t>
  </si>
  <si>
    <t>GBP</t>
  </si>
  <si>
    <t>Semi-Annual</t>
  </si>
  <si>
    <t>Any Two</t>
  </si>
  <si>
    <t>Closed</t>
  </si>
  <si>
    <t>High</t>
  </si>
  <si>
    <t>Expired</t>
  </si>
  <si>
    <t>US</t>
  </si>
  <si>
    <t>Completed</t>
  </si>
  <si>
    <t>VAT Regime</t>
  </si>
  <si>
    <t>Liquidation</t>
  </si>
  <si>
    <t>USD</t>
  </si>
  <si>
    <t>Annual</t>
  </si>
  <si>
    <t>Board Resolution Required</t>
  </si>
  <si>
    <t>On Hold</t>
  </si>
  <si>
    <t>Critical</t>
  </si>
  <si>
    <t>Renewal in Progress</t>
  </si>
  <si>
    <t>Germany</t>
  </si>
  <si>
    <t>Qualified</t>
  </si>
  <si>
    <t>CT+VAT</t>
  </si>
  <si>
    <t>Struck Off</t>
  </si>
  <si>
    <t>CHF</t>
  </si>
  <si>
    <t>Ad-hoc</t>
  </si>
  <si>
    <t>Italy</t>
  </si>
  <si>
    <t>Overdue</t>
  </si>
  <si>
    <t>Other</t>
  </si>
  <si>
    <t>SAR</t>
  </si>
  <si>
    <t>Ireland</t>
  </si>
  <si>
    <t>Netherlands</t>
  </si>
  <si>
    <t>Singapore</t>
  </si>
  <si>
    <t>Entity ID</t>
  </si>
  <si>
    <t>Entity Legal Name</t>
  </si>
  <si>
    <t>Trading Name</t>
  </si>
  <si>
    <t>Holding Company</t>
  </si>
  <si>
    <t>Regulatory Group (auto)</t>
  </si>
  <si>
    <t>Legal Form</t>
  </si>
  <si>
    <t>Registration / License No</t>
  </si>
  <si>
    <t>Entity Status</t>
  </si>
  <si>
    <t>Logo (Insert Image)</t>
  </si>
  <si>
    <t>Notes</t>
  </si>
  <si>
    <t>E-001</t>
  </si>
  <si>
    <t>Symax Group Limited</t>
  </si>
  <si>
    <t>E-002</t>
  </si>
  <si>
    <t>E-003</t>
  </si>
  <si>
    <t>Mycom Holding Limited</t>
  </si>
  <si>
    <t>E-004</t>
  </si>
  <si>
    <t>Amertaat Ltd.</t>
  </si>
  <si>
    <t>E-005</t>
  </si>
  <si>
    <t>One Media Tech Holding Inc.</t>
  </si>
  <si>
    <t>E-006</t>
  </si>
  <si>
    <t>Symax General Trading LLC</t>
  </si>
  <si>
    <t>E-007</t>
  </si>
  <si>
    <t>Symax Law FZCO</t>
  </si>
  <si>
    <t>E-008</t>
  </si>
  <si>
    <t>Z Prime Ltd</t>
  </si>
  <si>
    <t>E-009</t>
  </si>
  <si>
    <t>Z Prime GmbH</t>
  </si>
  <si>
    <t>E-010</t>
  </si>
  <si>
    <t>Amertaat Italia SRL</t>
  </si>
  <si>
    <t>Address Type (Registered/Admin/Operational)</t>
  </si>
  <si>
    <t>Full Address</t>
  </si>
  <si>
    <t>City</t>
  </si>
  <si>
    <t>Country</t>
  </si>
  <si>
    <t>Postal Code</t>
  </si>
  <si>
    <t>Person ID</t>
  </si>
  <si>
    <t>Full Name</t>
  </si>
  <si>
    <t>Role</t>
  </si>
  <si>
    <t>Appointment Date</t>
  </si>
  <si>
    <t>Nationality</t>
  </si>
  <si>
    <t>Email</t>
  </si>
  <si>
    <t>Phone</t>
  </si>
  <si>
    <t>ID / Passport No</t>
  </si>
  <si>
    <t>Photo (Insert Image)</t>
  </si>
  <si>
    <t>Active (Y/N)</t>
  </si>
  <si>
    <t>UBO ID</t>
  </si>
  <si>
    <t>Ownership %</t>
  </si>
  <si>
    <t>Date of Birth</t>
  </si>
  <si>
    <t>Residential Address</t>
  </si>
  <si>
    <t>Auditor ID</t>
  </si>
  <si>
    <t>Audit Firm Name</t>
  </si>
  <si>
    <t>Lead Partner</t>
  </si>
  <si>
    <t>Audit Period</t>
  </si>
  <si>
    <t>Audit Status</t>
  </si>
  <si>
    <t>Bank Account ID</t>
  </si>
  <si>
    <t>Bank Name</t>
  </si>
  <si>
    <t>Account Name</t>
  </si>
  <si>
    <t>SWIFT/BIC</t>
  </si>
  <si>
    <t>Account Type</t>
  </si>
  <si>
    <t>Status</t>
  </si>
  <si>
    <t>Signatory ID</t>
  </si>
  <si>
    <t>Signing Authority</t>
  </si>
  <si>
    <t>Limit</t>
  </si>
  <si>
    <t>VAT Number</t>
  </si>
  <si>
    <t>Tax Regime</t>
  </si>
  <si>
    <t>Filing Frequency</t>
  </si>
  <si>
    <t>Last Filing Date</t>
  </si>
  <si>
    <t>Audit Required (Y/N)</t>
  </si>
  <si>
    <t>Next Due Date (Auto)</t>
  </si>
  <si>
    <t>Days to Due (Auto)</t>
  </si>
  <si>
    <t>Filing Status (Auto)</t>
  </si>
  <si>
    <t>Reminder Flag (Auto)</t>
  </si>
  <si>
    <t>Corporate Tax Applicable (Y/N)</t>
  </si>
  <si>
    <t>Economic Substance (Y/N)</t>
  </si>
  <si>
    <t>Transfer Pricing (Y/N)</t>
  </si>
  <si>
    <t>Data Protection Regime</t>
  </si>
  <si>
    <t>Section</t>
  </si>
  <si>
    <t>Group Overview</t>
  </si>
  <si>
    <t>Count</t>
  </si>
  <si>
    <t>Active Entities</t>
  </si>
  <si>
    <t>Compliance</t>
  </si>
  <si>
    <t>Due &lt;30d Tax Filings</t>
  </si>
  <si>
    <t>Renewals</t>
  </si>
  <si>
    <t>Overdue Items (Calendar)</t>
  </si>
  <si>
    <t>Due Soon Items (Calendar)</t>
  </si>
  <si>
    <t>Doc ID</t>
  </si>
  <si>
    <t>Document Type</t>
  </si>
  <si>
    <t>Document Description</t>
  </si>
  <si>
    <t>Issue Date</t>
  </si>
  <si>
    <t>Expiry Date</t>
  </si>
  <si>
    <t>Responsible Person</t>
  </si>
  <si>
    <t>Review Status</t>
  </si>
  <si>
    <t>Control ID</t>
  </si>
  <si>
    <t>Date Logged</t>
  </si>
  <si>
    <t>Control Type</t>
  </si>
  <si>
    <t>Description</t>
  </si>
  <si>
    <t>Owner</t>
  </si>
  <si>
    <t>Risk Rating</t>
  </si>
  <si>
    <t>Evidence Link</t>
  </si>
  <si>
    <t>Due Date</t>
  </si>
  <si>
    <t>Closure Date</t>
  </si>
  <si>
    <t>Comments</t>
  </si>
  <si>
    <t>Days to Expiry (Auto)</t>
  </si>
  <si>
    <t>Item ID</t>
  </si>
  <si>
    <t>Item Type</t>
  </si>
  <si>
    <t>Entity Legal Name (Lookup)</t>
  </si>
  <si>
    <t>Owner (Role/Person)</t>
  </si>
  <si>
    <t>RAG (Auto)</t>
  </si>
  <si>
    <t>CAL-0001</t>
  </si>
  <si>
    <t>VAT Filing</t>
  </si>
  <si>
    <t>VAT return filing (most entities quarterly)</t>
  </si>
  <si>
    <t>Tax Manager</t>
  </si>
  <si>
    <t>CAL-0002</t>
  </si>
  <si>
    <t>Corporate Tax Filing</t>
  </si>
  <si>
    <t>Corporate tax return filing</t>
  </si>
  <si>
    <t>CAL-0003</t>
  </si>
  <si>
    <t>CAL-0004</t>
  </si>
  <si>
    <t>CAL-0005</t>
  </si>
  <si>
    <t>CAL-0006</t>
  </si>
  <si>
    <t>CAL-0007</t>
  </si>
  <si>
    <t>CAL-0008</t>
  </si>
  <si>
    <t>CAL-0009</t>
  </si>
  <si>
    <t>CAL-0010</t>
  </si>
  <si>
    <t>CAL-0011</t>
  </si>
  <si>
    <t>CAL-0012</t>
  </si>
  <si>
    <t>CAL-0013</t>
  </si>
  <si>
    <t>CAL-0014</t>
  </si>
  <si>
    <t>CAL-0015</t>
  </si>
  <si>
    <t>CAL-0016</t>
  </si>
  <si>
    <t>CAL-0017</t>
  </si>
  <si>
    <t>CAL-0018</t>
  </si>
  <si>
    <t>CAL-0019</t>
  </si>
  <si>
    <t>CAL-0020</t>
  </si>
  <si>
    <t>Group Governance &amp; Compliance – Board Pack Summary</t>
  </si>
  <si>
    <t>As of:</t>
  </si>
  <si>
    <t>Key Metrics</t>
  </si>
  <si>
    <t>Metric</t>
  </si>
  <si>
    <t>Value</t>
  </si>
  <si>
    <t>Tax Filing Status</t>
  </si>
  <si>
    <t>Due &lt;30d</t>
  </si>
  <si>
    <t>On Track</t>
  </si>
  <si>
    <t>Renewals &lt;60d</t>
  </si>
  <si>
    <t>Overdue Calendar Items</t>
  </si>
  <si>
    <t>Due Soon Calendar Items</t>
  </si>
  <si>
    <t>Issue Type</t>
  </si>
  <si>
    <t>Days Overdue</t>
  </si>
  <si>
    <t>Jurisdiction Risk Overview</t>
  </si>
  <si>
    <t>Entity Count</t>
  </si>
  <si>
    <t>Days to Due (Auto)2</t>
  </si>
  <si>
    <t>Symax Group Governance &amp; Control System</t>
  </si>
  <si>
    <t>SYMAX GROUP GOVERNANCE &amp; COMPLIANCE – EXECUTIVE SUMMARY</t>
  </si>
  <si>
    <t>Incorporation Date</t>
  </si>
  <si>
    <t>Remarks</t>
  </si>
  <si>
    <t>E-011</t>
  </si>
  <si>
    <t>eJuno FZCO</t>
  </si>
  <si>
    <t>Tax Identification Number</t>
  </si>
  <si>
    <t>Return Filing Frequency</t>
  </si>
  <si>
    <t>Return Filing Due Date</t>
  </si>
  <si>
    <t>Licensing Authority</t>
  </si>
  <si>
    <t>Shareholder 1</t>
  </si>
  <si>
    <t>Shareholder 2</t>
  </si>
  <si>
    <t>Shareholder 3</t>
  </si>
  <si>
    <t>Shareholding %age 1</t>
  </si>
  <si>
    <t>Shareholding %age 2</t>
  </si>
  <si>
    <t>Shareholding %age 3</t>
  </si>
  <si>
    <t>Risk rating (auto)</t>
  </si>
  <si>
    <t>Symax Holding Limited</t>
  </si>
  <si>
    <t>Address Type</t>
  </si>
  <si>
    <t>Registered</t>
  </si>
  <si>
    <t>Admin</t>
  </si>
  <si>
    <t>Operational</t>
  </si>
  <si>
    <t>Select</t>
  </si>
  <si>
    <t>Regulatory_Group</t>
  </si>
  <si>
    <t>Company</t>
  </si>
  <si>
    <t>28, Esplanade</t>
  </si>
  <si>
    <t>St. Helier</t>
  </si>
  <si>
    <t>Jersey</t>
  </si>
  <si>
    <t>JE2 3QA</t>
  </si>
  <si>
    <t>Siamak Sarbaz</t>
  </si>
  <si>
    <t>375-AL BARSHA THIRD,
Premise Number:375997687
Premise Type: RESIDENTIAL - VILLA
PO Box:53299, Dubai, UAE</t>
  </si>
  <si>
    <t>siamak.sarbaz@symax-int.com</t>
  </si>
  <si>
    <t>B-001</t>
  </si>
  <si>
    <t>B-002</t>
  </si>
  <si>
    <t>B-003</t>
  </si>
  <si>
    <t>Switzerland</t>
  </si>
  <si>
    <t>Schroders &amp; Co</t>
  </si>
  <si>
    <t>IBAN</t>
  </si>
  <si>
    <t>Account No</t>
  </si>
  <si>
    <t xml:space="preserve">CH7908634006094240001 </t>
  </si>
  <si>
    <t xml:space="preserve">BJHSCHZZ </t>
  </si>
  <si>
    <t>6094240000</t>
  </si>
  <si>
    <t>Execution</t>
  </si>
  <si>
    <t>N/A</t>
  </si>
  <si>
    <t>30th September</t>
  </si>
  <si>
    <t>A-001</t>
  </si>
  <si>
    <t>A-002</t>
  </si>
  <si>
    <t>A-003</t>
  </si>
  <si>
    <t>A-004</t>
  </si>
  <si>
    <t>SCM Madria Auditing LLC</t>
  </si>
  <si>
    <t>Shaji C Madathil</t>
  </si>
  <si>
    <t>shaji@scmmadria.com, 
shaji@afsauditing.com</t>
  </si>
  <si>
    <t>In progress</t>
  </si>
  <si>
    <t>RSM Dahman Auditors</t>
  </si>
  <si>
    <t>Asad Mahmood</t>
  </si>
  <si>
    <t>asadm@rsm.ae</t>
  </si>
  <si>
    <t>2021-2023</t>
  </si>
  <si>
    <t>Licese Link</t>
  </si>
  <si>
    <t>Overdue VAT Filings</t>
  </si>
  <si>
    <t>Overdue CT Filings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</si>
</sst>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409]mmmm\ d\,\ yyyy;@"/>
    <numFmt numFmtId="166" formatCode="[$-409]d\-mmm\-yy;@"/>
  </numFmts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6"/>
      <color rgb="FF1F4E79"/>
      <name val="Calibri"/>
      <family val="2"/>
    </font>
    <font>
      <b/>
      <sz val="12"/>
      <color rgb="FF1F4E79"/>
      <name val="Calibri"/>
      <family val="2"/>
    </font>
    <font>
      <b/>
      <sz val="14"/>
      <name val="Calibri"/>
      <family val="2"/>
    </font>
    <font>
      <b/>
      <sz val="15"/>
      <name val="Calibri (Body)"/>
    </font>
    <font>
      <sz val="15"/>
      <color theme="1"/>
      <name val="Calibri (Body)"/>
    </font>
    <font>
      <b/>
      <u/>
      <sz val="14"/>
      <name val="Calibri"/>
      <family val="2"/>
    </font>
    <font>
      <b/>
      <sz val="14"/>
      <color rgb="FFFFFFFF"/>
      <name val="Calibri (Body)"/>
    </font>
    <font>
      <sz val="14"/>
      <color theme="1"/>
      <name val="Calibri (Body)"/>
    </font>
    <font>
      <b/>
      <u/>
      <sz val="12"/>
      <name val="Calibri"/>
      <family val="2"/>
    </font>
    <font>
      <b/>
      <sz val="12"/>
      <color rgb="FF0000FF"/>
      <name val="Calibri"/>
      <family val="2"/>
    </font>
    <font>
      <b/>
      <sz val="14"/>
      <name val="Calibri (Body)"/>
    </font>
    <font>
      <b/>
      <sz val="12"/>
      <name val="Calibri (Body)"/>
    </font>
    <font>
      <sz val="12"/>
      <color theme="1"/>
      <name val="Calibri (Body)"/>
    </font>
    <font>
      <b/>
      <sz val="12"/>
      <color rgb="FFFFFFFF"/>
      <name val="Calibri (Body)"/>
    </font>
    <font>
      <b/>
      <sz val="12"/>
      <color rgb="FFFFC000"/>
      <name val="Calibri (Body)"/>
    </font>
    <font>
      <sz val="8"/>
      <name val="Calibri"/>
      <family val="2"/>
      <scheme val="minor"/>
    </font>
    <font>
      <b/>
      <sz val="12"/>
      <color theme="5" tint="0.39997558519241921"/>
      <name val="Calibri (Body)"/>
    </font>
    <font>
      <sz val="12"/>
      <name val="Calibri (Body)"/>
    </font>
    <font>
      <u/>
      <sz val="11"/>
      <color theme="10"/>
      <name val="Calibri"/>
      <family val="2"/>
      <scheme val="minor"/>
    </font>
    <font>
      <b/>
      <sz val="12"/>
      <color theme="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1" fillId="0" borderId="0" xfId="0" applyFont="1"/>
    <xf numFmtId="165" fontId="1" fillId="0" borderId="0" xfId="0" applyNumberFormat="1" applyFont="1"/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6" fontId="14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6" fillId="0" borderId="0" xfId="0" applyFont="1"/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4" fontId="17" fillId="0" borderId="1" xfId="0" applyNumberFormat="1" applyFont="1" applyBorder="1" applyAlignment="1">
      <alignment horizontal="left" vertical="center" wrapText="1"/>
    </xf>
    <xf numFmtId="0" fontId="16" fillId="3" borderId="0" xfId="0" applyFont="1" applyFill="1"/>
    <xf numFmtId="0" fontId="18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7" fillId="4" borderId="8" xfId="0" applyFont="1" applyFill="1" applyBorder="1"/>
    <xf numFmtId="0" fontId="17" fillId="4" borderId="7" xfId="0" applyFont="1" applyFill="1" applyBorder="1"/>
    <xf numFmtId="0" fontId="18" fillId="2" borderId="9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7" fillId="4" borderId="0" xfId="0" applyFont="1" applyFill="1"/>
    <xf numFmtId="0" fontId="21" fillId="2" borderId="1" xfId="0" applyFont="1" applyFill="1" applyBorder="1" applyAlignment="1">
      <alignment horizontal="left" vertical="center" wrapText="1"/>
    </xf>
    <xf numFmtId="0" fontId="22" fillId="0" borderId="0" xfId="0" applyFont="1"/>
    <xf numFmtId="14" fontId="17" fillId="0" borderId="1" xfId="0" applyNumberFormat="1" applyFont="1" applyBorder="1" applyAlignment="1">
      <alignment horizontal="left" vertical="center" wrapText="1"/>
    </xf>
    <xf numFmtId="14" fontId="17" fillId="0" borderId="0" xfId="0" applyNumberFormat="1" applyFont="1"/>
    <xf numFmtId="0" fontId="17" fillId="0" borderId="0" xfId="0" applyFont="1" applyAlignment="1">
      <alignment wrapText="1"/>
    </xf>
    <xf numFmtId="0" fontId="23" fillId="0" borderId="0" xfId="1"/>
    <xf numFmtId="0" fontId="17" fillId="3" borderId="0" xfId="0" applyFont="1" applyFill="1"/>
    <xf numFmtId="0" fontId="17" fillId="0" borderId="0" xfId="0" applyFont="1" applyAlignment="1">
      <alignment horizontal="right"/>
    </xf>
    <xf numFmtId="0" fontId="17" fillId="0" borderId="0" xfId="0" quotePrefix="1" applyFont="1" applyAlignment="1">
      <alignment horizontal="right"/>
    </xf>
    <xf numFmtId="0" fontId="24" fillId="2" borderId="1" xfId="0" applyFont="1" applyFill="1" applyBorder="1" applyAlignment="1">
      <alignment horizontal="center" vertical="center" wrapText="1"/>
    </xf>
    <xf numFmtId="0" fontId="23" fillId="0" borderId="0" xfId="1" applyAlignment="1">
      <alignment wrapText="1"/>
    </xf>
    <xf numFmtId="1" fontId="17" fillId="0" borderId="0" xfId="0" applyNumberFormat="1" applyFont="1"/>
    <xf numFmtId="0" fontId="8" fillId="0" borderId="0" xfId="0" applyFont="1"/>
    <xf numFmtId="0" fontId="9" fillId="0" borderId="0" xfId="0" applyFont="1"/>
    <xf numFmtId="0" fontId="11" fillId="2" borderId="6" xfId="0" applyFont="1" applyFill="1" applyBorder="1" applyAlignment="1">
      <alignment horizontal="center" vertical="center" wrapText="1"/>
    </xf>
    <xf numFmtId="0" fontId="12" fillId="0" borderId="2" xfId="0" applyFont="1" applyBorder="1"/>
    <xf numFmtId="0" fontId="12" fillId="0" borderId="3" xfId="0" applyFont="1" applyBorder="1"/>
    <xf numFmtId="0" fontId="15" fillId="0" borderId="0" xfId="0" applyFont="1"/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144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C0C0C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(Body)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strike val="0"/>
        <outline val="0"/>
        <shadow val="0"/>
        <u val="none"/>
        <vertAlign val="baseline"/>
        <sz val="12"/>
        <name val="Calibri (Body)"/>
        <scheme val="none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 (Body)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C0C0C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(Body)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Calibri (Body)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(Body)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</dxf>
    <dxf>
      <font>
        <strike val="0"/>
        <outline val="0"/>
        <shadow val="0"/>
        <u val="none"/>
        <vertAlign val="baseline"/>
        <sz val="12"/>
        <name val="Calibri (Body)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Entities by Jurisdiction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Governance_Dashboard!$B$14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="ctr" anchorCtr="1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Governance_Dashboard!$A$15:$A$20</c:f>
              <c:numCache>
                <c:formatCode>General</c:formatCode>
                <c:ptCount val="6"/>
              </c:numCache>
            </c:numRef>
          </c:cat>
          <c:val>
            <c:numRef>
              <c:f>Governance_Dashboard!$B$15:$B$20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CC0-2348-A963-6A5273D8BA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Audit Status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Governance_Dashboard!$E$14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numRef>
              <c:f>Governance_Dashboard!$D$15:$D$19</c:f>
              <c:numCache>
                <c:formatCode>General</c:formatCode>
                <c:ptCount val="5"/>
              </c:numCache>
            </c:numRef>
          </c:cat>
          <c:val>
            <c:numRef>
              <c:f>Governance_Dashboard!$E$15:$E$19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0CF2-CC45-ADD5-4C1ABA9B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Tax Filing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Governance_Dashboard!$B$25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="ctr" anchorCtr="1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Governance_Dashboard!$A$26:$A$29</c:f>
              <c:numCache>
                <c:formatCode>General</c:formatCode>
                <c:ptCount val="4"/>
              </c:numCache>
            </c:numRef>
          </c:cat>
          <c:val>
            <c:numRef>
              <c:f>Governance_Dashboard!$B$26:$B$29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F19-8B49-A695-F2579FCAEF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Active Bank Accounts by Currency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Governance_Dashboard!$E$25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anchor="ctr" anchorCtr="1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Governance_Dashboard!$D$26:$D$31</c:f>
              <c:numCache>
                <c:formatCode>General</c:formatCode>
                <c:ptCount val="6"/>
              </c:numCache>
            </c:numRef>
          </c:cat>
          <c:val>
            <c:numRef>
              <c:f>Governance_Dashboard!$E$26:$E$31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253-3A43-BFD9-601DA7EEA5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Entities by Jurisdiction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Governance_Dashboard!$F$2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Governance_Dashboard!$E$3:$E$8</c:f>
              <c:strCache>
                <c:ptCount val="6"/>
                <c:pt idx="0">
                  <c:v>UAE</c:v>
                </c:pt>
                <c:pt idx="1">
                  <c:v>UK</c:v>
                </c:pt>
                <c:pt idx="2">
                  <c:v>EU</c:v>
                </c:pt>
                <c:pt idx="3">
                  <c:v>US</c:v>
                </c:pt>
                <c:pt idx="4">
                  <c:v>Germany</c:v>
                </c:pt>
                <c:pt idx="5">
                  <c:v>Italy</c:v>
                </c:pt>
              </c:strCache>
            </c:strRef>
          </c:cat>
          <c:val>
            <c:numRef>
              <c:f>Governance_Dashboard!$F$3:$F$8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2-3C4F-8E2B-5F706A4D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Jurisdiction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Tax Compliance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Board_Pack!$D$7:$D$9</c:f>
              <c:strCache>
                <c:ptCount val="3"/>
                <c:pt idx="0">
                  <c:v>Overdue</c:v>
                </c:pt>
                <c:pt idx="1">
                  <c:v>Due &lt;30d</c:v>
                </c:pt>
                <c:pt idx="2">
                  <c:v>On Track</c:v>
                </c:pt>
              </c:strCache>
            </c:strRef>
          </c:cat>
          <c:val>
            <c:numRef>
              <c:f>Board_Pack!$E$7:$E$9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D-C945-B326-57D9CEEAE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Entities by Jurisdiction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Risk_Heatmap!$B$2</c:f>
              <c:strCache>
                <c:ptCount val="1"/>
                <c:pt idx="0">
                  <c:v>Entity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Risk_Heatmap!$A$3:$A$8</c:f>
              <c:strCache>
                <c:ptCount val="6"/>
                <c:pt idx="0">
                  <c:v>UAE</c:v>
                </c:pt>
                <c:pt idx="1">
                  <c:v>UK</c:v>
                </c:pt>
                <c:pt idx="2">
                  <c:v>EU</c:v>
                </c:pt>
                <c:pt idx="3">
                  <c:v>US</c:v>
                </c:pt>
                <c:pt idx="4">
                  <c:v>Germany</c:v>
                </c:pt>
                <c:pt idx="5">
                  <c:v>Italy</c:v>
                </c:pt>
              </c:strCache>
            </c:strRef>
          </c:cat>
          <c:val>
            <c:numRef>
              <c:f>Risk_Heatmap!$B$3:$B$8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C-9F40-A03B-E0A38338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Jurisdiction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6</xdr:col>
      <xdr:colOff>0</xdr:colOff>
      <xdr:row>10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6</xdr:col>
      <xdr:colOff>0</xdr:colOff>
      <xdr:row>19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0</xdr:colOff>
      <xdr:row>9</xdr:row>
      <xdr:rowOff>0</xdr:rowOff>
    </xdr:from>
    <xdr:ext cx="6480000" cy="288000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0</xdr:rowOff>
    </xdr:from>
    <xdr:ext cx="36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atvika Jain" id="{588B7EBC-C949-42CA-8084-20E683588B8A}" userId="S::saatvika.jain@symax-int.com::7bbef6f0-a99c-40bb-88bd-389cc1b779f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ntity" displayName="tblEntity" ref="A1:X1000" headerRowDxfId="143" dataDxfId="142" totalsRowDxfId="141">
  <autoFilter ref="A1:X1000" xr:uid="{00000000-0009-0000-0100-000001000000}"/>
  <tableColumns count="24">
    <tableColumn id="1" xr3:uid="{00000000-0010-0000-0000-000001000000}" name="Entity ID" dataDxfId="140"/>
    <tableColumn id="2" xr3:uid="{00000000-0010-0000-0000-000002000000}" name="Entity Legal Name" dataDxfId="139"/>
    <tableColumn id="3" xr3:uid="{00000000-0010-0000-0000-000003000000}" name="Trading Name" dataDxfId="138"/>
    <tableColumn id="4" xr3:uid="{00000000-0010-0000-0000-000004000000}" name="Holding Company" dataDxfId="137"/>
    <tableColumn id="21" xr3:uid="{4F5E6E47-D72E-4DF1-AFE3-E5C267AD3EEF}" name="Shareholder 1" dataDxfId="136"/>
    <tableColumn id="22" xr3:uid="{6949B259-C13C-4BC1-BC81-B1F6505D501C}" name="Shareholding %age 1" dataDxfId="135"/>
    <tableColumn id="20" xr3:uid="{18E5A3BE-251A-4055-BDEA-3DA06FE2C2AF}" name="Shareholder 2" dataDxfId="134"/>
    <tableColumn id="23" xr3:uid="{32480BDE-3886-4ACD-9721-6F0E1259AD9A}" name="Shareholding %age 2" dataDxfId="133"/>
    <tableColumn id="19" xr3:uid="{1A5304BD-BCE4-490C-9139-67DC3FADB8F3}" name="Shareholder 3" dataDxfId="132"/>
    <tableColumn id="24" xr3:uid="{555C2129-796B-4461-90F0-9EB75287119A}" name="Shareholding %age 3" dataDxfId="131"/>
    <tableColumn id="5" xr3:uid="{00000000-0010-0000-0000-000005000000}" name="Jurisdiction" dataDxfId="130"/>
    <tableColumn id="18" xr3:uid="{9A136CEE-3352-4271-B974-69FAE298B882}" name="Address Type (Registered/Admin/Operational)" dataDxfId="129"/>
    <tableColumn id="17" xr3:uid="{D16340D4-0DC5-44D3-8AFD-D141B25C4A38}" name="Full Address" dataDxfId="128"/>
    <tableColumn id="16" xr3:uid="{8732DF4C-E58E-43D8-84C7-1AB09445A7BA}" name="City" dataDxfId="127"/>
    <tableColumn id="15" xr3:uid="{0594896F-3425-40E1-B5F9-DB92F447DA16}" name="Country" dataDxfId="126"/>
    <tableColumn id="14" xr3:uid="{016FA8D3-45B0-4E40-9149-C96F6A78ECFC}" name="Postal Code" dataDxfId="125"/>
    <tableColumn id="6" xr3:uid="{00000000-0010-0000-0000-000006000000}" name="Regulatory Group (auto)" dataDxfId="124"/>
    <tableColumn id="7" xr3:uid="{00000000-0010-0000-0000-000007000000}" name="Risk rating (auto)" dataDxfId="123"/>
    <tableColumn id="8" xr3:uid="{00000000-0010-0000-0000-000008000000}" name="Legal Form" dataDxfId="122"/>
    <tableColumn id="9" xr3:uid="{00000000-0010-0000-0000-000009000000}" name="Registration / License No" dataDxfId="121"/>
    <tableColumn id="10" xr3:uid="{00000000-0010-0000-0000-00000A000000}" name="Incorporation Date" dataDxfId="120"/>
    <tableColumn id="11" xr3:uid="{00000000-0010-0000-0000-00000B000000}" name="Entity Status" dataDxfId="119"/>
    <tableColumn id="12" xr3:uid="{00000000-0010-0000-0000-00000C000000}" name="Logo (Insert Image)" dataDxfId="118"/>
    <tableColumn id="13" xr3:uid="{00000000-0010-0000-0000-00000D000000}" name="Remarks" dataDxfId="1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ax" displayName="tblTax" ref="A1:M50" headerRowDxfId="116" dataDxfId="115" totalsRowDxfId="114">
  <autoFilter ref="A1:M50" xr:uid="{00000000-0009-0000-0100-000002000000}"/>
  <tableColumns count="13">
    <tableColumn id="1" xr3:uid="{00000000-0010-0000-0100-000001000000}" name="Entity ID" dataDxfId="113">
      <calculatedColumnFormula>tblEntity[[#This Row],[Entity ID]]</calculatedColumnFormula>
    </tableColumn>
    <tableColumn id="18" xr3:uid="{90A6FD39-7477-4A59-947C-54D22803C5BA}" name="Entity Legal Name" dataDxfId="112">
      <calculatedColumnFormula>tblEntity[[#This Row],[Entity Legal Name]]</calculatedColumnFormula>
    </tableColumn>
    <tableColumn id="4" xr3:uid="{00000000-0010-0000-0100-000004000000}" name="VAT Number" dataDxfId="111"/>
    <tableColumn id="5" xr3:uid="{00000000-0010-0000-0100-000005000000}" name="Tax Regime" dataDxfId="110"/>
    <tableColumn id="6" xr3:uid="{00000000-0010-0000-0100-000006000000}" name="Filing Frequency" dataDxfId="109"/>
    <tableColumn id="7" xr3:uid="{00000000-0010-0000-0100-000007000000}" name="Last Filing Date" dataDxfId="108"/>
    <tableColumn id="11" xr3:uid="{00000000-0010-0000-0100-00000B000000}" name="Audit Required (Y/N)" dataDxfId="107"/>
    <tableColumn id="12" xr3:uid="{00000000-0010-0000-0100-00000C000000}" name="Audit Status" dataDxfId="106"/>
    <tableColumn id="13" xr3:uid="{00000000-0010-0000-0100-00000D000000}" name="Notes" dataDxfId="105"/>
    <tableColumn id="14" xr3:uid="{00000000-0010-0000-0100-00000E000000}" name="Next Due Date (Auto)" dataDxfId="104"/>
    <tableColumn id="15" xr3:uid="{00000000-0010-0000-0100-00000F000000}" name="Days to Due (Auto)2" dataDxfId="103"/>
    <tableColumn id="16" xr3:uid="{00000000-0010-0000-0100-000010000000}" name="Filing Status (Auto)" dataDxfId="102"/>
    <tableColumn id="17" xr3:uid="{00000000-0010-0000-0100-000011000000}" name="Reminder Flag (Auto)" dataDxfId="10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BDA6E3-BB80-4B00-8A1C-3329C6D36A41}" name="Table8" displayName="Table8" ref="A1:P12" totalsRowShown="0" headerRowDxfId="100" dataDxfId="98" headerRowBorderDxfId="99" tableBorderDxfId="97">
  <autoFilter ref="A1:P12" xr:uid="{C6BDA6E3-BB80-4B00-8A1C-3329C6D36A41}"/>
  <tableColumns count="16">
    <tableColumn id="1" xr3:uid="{3D484227-5C9B-406A-8776-C1CB16876151}" name="Entity ID" dataDxfId="96">
      <calculatedColumnFormula>tblEntity[[#This Row],[Entity ID]]</calculatedColumnFormula>
    </tableColumn>
    <tableColumn id="2" xr3:uid="{B76754CF-9715-411E-A3F7-878D2E68046B}" name="Entity Legal Name" dataDxfId="95">
      <calculatedColumnFormula>tblEntity[[#This Row],[Entity Legal Name]]</calculatedColumnFormula>
    </tableColumn>
    <tableColumn id="3" xr3:uid="{F78EBFF7-6C56-4B70-9E37-87586B086A6A}" name="Jurisdiction" dataDxfId="94"/>
    <tableColumn id="5" xr3:uid="{0D440564-F316-43B1-972C-485F874FEEAB}" name="Tax Identification Number" dataDxfId="93"/>
    <tableColumn id="4" xr3:uid="{0D7BE10F-383B-4A40-817E-54C1B80219F8}" name="Corporate Tax Applicable (Y/N)" dataDxfId="92"/>
    <tableColumn id="11" xr3:uid="{0C86C469-DFDE-443D-BED9-1458795BEA62}" name="Return Filing Frequency" dataDxfId="91"/>
    <tableColumn id="10" xr3:uid="{CF66668A-7703-4329-9AF6-B98E4F6EA204}" name="Return Filing Due Date" dataDxfId="90"/>
    <tableColumn id="14" xr3:uid="{3894CC18-5620-4387-8F72-D5F7B3C1D3FC}" name="Last Filing Date" dataDxfId="89"/>
    <tableColumn id="18" xr3:uid="{2E72628A-74F3-4908-A380-04517060F6E8}" name="Next Due Date (Auto)" dataDxfId="88">
      <calculatedColumnFormula>IF(H2="","",EDATE(H2,IF(F2="Monthly",1,IF(F2="Quarterly",3,IF(F2="Semi-Annual",6,IF(F2="Annual",12,""))))))</calculatedColumnFormula>
    </tableColumn>
    <tableColumn id="17" xr3:uid="{2D241488-1292-47FE-97DC-B3F4656BAE29}" name="Days to Due (Auto)2" dataDxfId="87">
      <calculatedColumnFormula>IF(I2="","",I2-TODAY())</calculatedColumnFormula>
    </tableColumn>
    <tableColumn id="16" xr3:uid="{5ADA10F1-4CDF-487D-98F7-92B4F660B349}" name="Filing Status (Auto)" dataDxfId="86">
      <calculatedColumnFormula>IF(I2="","Missing",IF(J2&lt;0,"Overdue",IF(J2&lt;=30,"Due &lt;30d","On Track")))</calculatedColumnFormula>
    </tableColumn>
    <tableColumn id="15" xr3:uid="{2DC35710-AAA9-4B6A-B743-AB40336A38B2}" name="Reminder Flag (Auto)" dataDxfId="85">
      <calculatedColumnFormula>IF(K2="Overdue","OVERDUE",IF(K2="Due &lt;30d","DUE SOON",""))</calculatedColumnFormula>
    </tableColumn>
    <tableColumn id="6" xr3:uid="{95080106-BB9F-4945-A424-B239607F5554}" name="Economic Substance (Y/N)" dataDxfId="84"/>
    <tableColumn id="7" xr3:uid="{5BB37C75-5DBB-4EFF-80E2-DCEEEBB42423}" name="Transfer Pricing (Y/N)" dataDxfId="83"/>
    <tableColumn id="8" xr3:uid="{D910BC22-4093-4045-8A48-4033F6831C1E}" name="Data Protection Regime" dataDxfId="82"/>
    <tableColumn id="9" xr3:uid="{BC43F314-8022-4C70-A8E2-7AB463D24706}" name="Notes" dataDxfId="81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Licenses" displayName="tblLicenses" ref="A1:H100" headerRowDxfId="80" dataDxfId="79" totalsRowDxfId="78">
  <autoFilter ref="A1:H100" xr:uid="{00000000-0009-0000-0100-000005000000}"/>
  <tableColumns count="8">
    <tableColumn id="1" xr3:uid="{00000000-0010-0000-0400-000001000000}" name="Entity ID" dataDxfId="77">
      <calculatedColumnFormula>tblEntity[[#This Row],[Entity ID]]</calculatedColumnFormula>
    </tableColumn>
    <tableColumn id="5" xr3:uid="{D30B80B1-0B2F-4CA1-9C16-7FA006BF40B1}" name="Entity Legal Name" dataDxfId="76">
      <calculatedColumnFormula>tblEntity[[#This Row],[Entity Legal Name]]</calculatedColumnFormula>
    </tableColumn>
    <tableColumn id="6" xr3:uid="{175E06A8-FF7C-46A1-9995-3ACA7CAAF90B}" name="Licensing Authority" dataDxfId="75"/>
    <tableColumn id="2" xr3:uid="{00000000-0010-0000-0400-000002000000}" name="Expiry Date" dataDxfId="74"/>
    <tableColumn id="8" xr3:uid="{E765D10E-897E-4B7D-9304-C9D8156F5FED}" name="Licese Link" dataDxfId="73"/>
    <tableColumn id="3" xr3:uid="{00000000-0010-0000-0400-000003000000}" name="Days to Expiry (Auto)" dataDxfId="72"/>
    <tableColumn id="4" xr3:uid="{00000000-0010-0000-0400-000004000000}" name="Status" dataDxfId="71">
      <calculatedColumnFormula>IF(F2="","",IF(F2&lt;0,"EXPIRED",IF(F2&lt;=60,"RENEW &lt;60d","")))</calculatedColumnFormula>
    </tableColumn>
    <tableColumn id="7" xr3:uid="{1A42D75B-5666-452B-A145-EFAFB5ED79DF}" name="Owner (Role/Person)" dataDxfId="7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B27265-54AA-4681-B229-47581846C210}" name="Table9" displayName="Table9" ref="A1:K11" totalsRowShown="0" headerRowDxfId="69" dataDxfId="67" headerRowBorderDxfId="68" tableBorderDxfId="66">
  <autoFilter ref="A1:K11" xr:uid="{07B27265-54AA-4681-B229-47581846C210}"/>
  <tableColumns count="11">
    <tableColumn id="1" xr3:uid="{D3F95393-82D6-4D62-91F1-2C7FD4825D2B}" name="Entity ID" dataDxfId="65">
      <calculatedColumnFormula>tblEntity[[#This Row],[Entity ID]]</calculatedColumnFormula>
    </tableColumn>
    <tableColumn id="2" xr3:uid="{803D6DD2-38E3-41CA-B524-B09F868081F2}" name="Entity Legal Name" dataDxfId="64">
      <calculatedColumnFormula>tblEntity[[#This Row],[Entity Legal Name]]</calculatedColumnFormula>
    </tableColumn>
    <tableColumn id="3" xr3:uid="{5E407878-1A49-416C-8228-B7E746E2A857}" name="Auditor ID" dataDxfId="63"/>
    <tableColumn id="4" xr3:uid="{E8D11373-2D61-4B44-B441-5760BB5E525A}" name="Audit Firm Name" dataDxfId="62"/>
    <tableColumn id="5" xr3:uid="{E5A931C9-9D81-45CD-9B30-C93B2BDD6C5F}" name="Lead Partner" dataDxfId="61"/>
    <tableColumn id="6" xr3:uid="{401EA66B-1F09-4943-A920-4813A6CE23B5}" name="Email" dataDxfId="60"/>
    <tableColumn id="7" xr3:uid="{5BEBA2D8-5B2A-424E-91F5-1E5C666BE1C7}" name="Phone" dataDxfId="59"/>
    <tableColumn id="8" xr3:uid="{A5446EC6-C30B-4098-81B6-D3DE1810C025}" name="Appointment Date" dataDxfId="58"/>
    <tableColumn id="9" xr3:uid="{EAB6574E-42E6-4E23-8868-B8131414E2DD}" name="Audit Period" dataDxfId="57"/>
    <tableColumn id="10" xr3:uid="{76F10030-4F9F-402F-9B2F-5CC514D08389}" name="Audit Status" dataDxfId="56"/>
    <tableColumn id="11" xr3:uid="{04DAFCCE-CAE4-4F97-8C35-0BF56F10F8C0}" name="Notes" dataDxfId="5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ocs" displayName="tblDocs" ref="A1:I200" headerRowDxfId="54" dataDxfId="53" totalsRowDxfId="52">
  <autoFilter ref="A1:I200" xr:uid="{00000000-0009-0000-0100-000003000000}"/>
  <tableColumns count="9">
    <tableColumn id="1" xr3:uid="{00000000-0010-0000-0200-000001000000}" name="Doc ID" dataDxfId="51"/>
    <tableColumn id="2" xr3:uid="{00000000-0010-0000-0200-000002000000}" name="Entity ID" dataDxfId="50"/>
    <tableColumn id="3" xr3:uid="{00000000-0010-0000-0200-000003000000}" name="Document Type" dataDxfId="49"/>
    <tableColumn id="4" xr3:uid="{00000000-0010-0000-0200-000004000000}" name="Document Description" dataDxfId="48"/>
    <tableColumn id="5" xr3:uid="{00000000-0010-0000-0200-000005000000}" name="Issue Date" dataDxfId="47"/>
    <tableColumn id="6" xr3:uid="{00000000-0010-0000-0200-000006000000}" name="Expiry Date" dataDxfId="46"/>
    <tableColumn id="8" xr3:uid="{00000000-0010-0000-0200-000008000000}" name="Responsible Person" dataDxfId="45"/>
    <tableColumn id="9" xr3:uid="{00000000-0010-0000-0200-000009000000}" name="Review Status" dataDxfId="44"/>
    <tableColumn id="10" xr3:uid="{00000000-0010-0000-0200-00000A000000}" name="Notes" dataDxfId="4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ontrols" displayName="tblControls" ref="A1:L100" headerRowDxfId="42" dataDxfId="41" totalsRowDxfId="40">
  <autoFilter ref="A1:L100" xr:uid="{00000000-0009-0000-0100-000004000000}"/>
  <tableColumns count="12">
    <tableColumn id="1" xr3:uid="{00000000-0010-0000-0300-000001000000}" name="Control ID" dataDxfId="39"/>
    <tableColumn id="2" xr3:uid="{00000000-0010-0000-0300-000002000000}" name="Date Logged" dataDxfId="38"/>
    <tableColumn id="3" xr3:uid="{00000000-0010-0000-0300-000003000000}" name="Entity ID" dataDxfId="37"/>
    <tableColumn id="4" xr3:uid="{00000000-0010-0000-0300-000004000000}" name="Control Type" dataDxfId="36"/>
    <tableColumn id="5" xr3:uid="{00000000-0010-0000-0300-000005000000}" name="Description" dataDxfId="35"/>
    <tableColumn id="6" xr3:uid="{00000000-0010-0000-0300-000006000000}" name="Owner" dataDxfId="34"/>
    <tableColumn id="7" xr3:uid="{00000000-0010-0000-0300-000007000000}" name="Risk Rating" dataDxfId="33"/>
    <tableColumn id="8" xr3:uid="{00000000-0010-0000-0300-000008000000}" name="Status" dataDxfId="32"/>
    <tableColumn id="9" xr3:uid="{00000000-0010-0000-0300-000009000000}" name="Evidence Link" dataDxfId="31"/>
    <tableColumn id="10" xr3:uid="{00000000-0010-0000-0300-00000A000000}" name="Due Date" dataDxfId="30"/>
    <tableColumn id="11" xr3:uid="{00000000-0010-0000-0300-00000B000000}" name="Closure Date" dataDxfId="29"/>
    <tableColumn id="12" xr3:uid="{00000000-0010-0000-0300-00000C000000}" name="Comments" dataDxfId="2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alendar" displayName="tblCalendar" ref="A1:L100" headerRowDxfId="27" dataDxfId="26" totalsRowDxfId="25">
  <autoFilter ref="A1:L100" xr:uid="{00000000-0009-0000-0100-000006000000}"/>
  <tableColumns count="12">
    <tableColumn id="1" xr3:uid="{00000000-0010-0000-0500-000001000000}" name="Item ID" dataDxfId="24"/>
    <tableColumn id="2" xr3:uid="{00000000-0010-0000-0500-000002000000}" name="Item Type" dataDxfId="23"/>
    <tableColumn id="3" xr3:uid="{00000000-0010-0000-0500-000003000000}" name="Entity ID" dataDxfId="22"/>
    <tableColumn id="4" xr3:uid="{00000000-0010-0000-0500-000004000000}" name="Entity Legal Name (Lookup)" dataDxfId="21"/>
    <tableColumn id="5" xr3:uid="{00000000-0010-0000-0500-000005000000}" name="Description" dataDxfId="20"/>
    <tableColumn id="6" xr3:uid="{00000000-0010-0000-0500-000006000000}" name="Due Date" dataDxfId="19"/>
    <tableColumn id="7" xr3:uid="{00000000-0010-0000-0500-000007000000}" name="Owner (Role/Person)" dataDxfId="18"/>
    <tableColumn id="8" xr3:uid="{00000000-0010-0000-0500-000008000000}" name="Status" dataDxfId="17"/>
    <tableColumn id="9" xr3:uid="{00000000-0010-0000-0500-000009000000}" name="Days to Due (Auto)" dataDxfId="16"/>
    <tableColumn id="10" xr3:uid="{00000000-0010-0000-0500-00000A000000}" name="RAG (Auto)" dataDxfId="15"/>
    <tableColumn id="11" xr3:uid="{00000000-0010-0000-0500-00000B000000}" name="Reminder Flag (Auto)" dataDxfId="14"/>
    <tableColumn id="12" xr3:uid="{00000000-0010-0000-0500-00000C000000}" name="Notes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2-27T13:49:05.05" personId="{588B7EBC-C949-42CA-8084-20E683588B8A}" id="{703B22EE-FFD6-4568-9491-6D92F8D19FF3}">
    <text xml:space="preserve">Also include the date of purchase of shares of all companies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6-02-06T12:37:19.25" personId="{588B7EBC-C949-42CA-8084-20E683588B8A}" id="{9BCF0351-826A-4ADE-8011-87FB43BCA27E}">
    <text>What is the use of this sheet?</text>
  </threadedComment>
  <threadedComment ref="A2" dT="2026-02-23T06:44:57.60" personId="{588B7EBC-C949-42CA-8084-20E683588B8A}" id="{BD7DCF61-41F9-4D13-92C2-1942D2C7DF82}" parentId="{9BCF0351-826A-4ADE-8011-87FB43BCA27E}">
    <text>Can this sheet be a pivot or chart basis other sheet’s data?</text>
  </threadedComment>
  <threadedComment ref="A2" dT="2026-02-23T06:45:37.37" personId="{588B7EBC-C949-42CA-8084-20E683588B8A}" id="{3DD226BA-68B7-4A3A-ADD5-312EF227BC9E}" parentId="{9BCF0351-826A-4ADE-8011-87FB43BCA27E}">
    <text>We also need to insert a tab for organization chart</text>
  </threadedComment>
  <threadedComment ref="A2" dT="2026-02-24T11:08:17.43" personId="{588B7EBC-C949-42CA-8084-20E683588B8A}" id="{15B373E9-9650-46D0-BCEC-680A9A87F212}" parentId="{9BCF0351-826A-4ADE-8011-87FB43BCA27E}">
    <text xml:space="preserve">Pick audit tracker and put in compliance
</text>
  </threadedComment>
  <threadedComment ref="E2" dT="2026-02-06T12:37:27.11" personId="{588B7EBC-C949-42CA-8084-20E683588B8A}" id="{BCD3D25B-A217-42CE-94B4-6DF87479D653}">
    <text>What is this column for?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6-02-06T12:38:12.72" personId="{588B7EBC-C949-42CA-8084-20E683588B8A}" id="{0A2631BC-DAC7-4B94-8B3B-AE2C17B66E2D}">
    <text>Should we have shareholders here? And lets input the organizaqtion chart as one of the Tabs in this</text>
  </threadedComment>
  <threadedComment ref="L1" dT="2026-03-20T12:47:44.03" personId="{588B7EBC-C949-42CA-8084-20E683588B8A}" id="{AB7DB2EE-39DA-4CCC-9A97-447E65853B9A}">
    <text>What is the difference between the 3?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2-24T11:18:44.97" personId="{588B7EBC-C949-42CA-8084-20E683588B8A}" id="{97165092-C70C-47E0-BF1E-A58FB0F6A984}">
    <text>Link these fields from previous sheet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6-02-24T11:20:55.47" personId="{588B7EBC-C949-42CA-8084-20E683588B8A}" id="{C34DED54-822F-4865-9591-5E0271BF3D4C}">
    <text>Get from Helen, and from Javid’s folders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" dT="2026-02-24T11:21:25.43" personId="{588B7EBC-C949-42CA-8084-20E683588B8A}" id="{BE65CD37-5385-44A7-8A73-87A9A4C4A787}">
    <text>Ask helen and rest JK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2" dT="2026-03-27T12:25:30.22" personId="{588B7EBC-C949-42CA-8084-20E683588B8A}" id="{9FE49DAC-237F-4F31-9C94-C5D85E8ECC6A}">
    <text>To connect with Mahaveer for this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0" dT="2026-03-27T14:37:17.67" personId="{588B7EBC-C949-42CA-8084-20E683588B8A}" id="{8D0BCACF-794E-4595-A783-7A573CACF0D8}">
    <text>To get this info from Claudio</text>
  </threadedComment>
  <threadedComment ref="G11" dT="2026-03-27T13:13:47.70" personId="{588B7EBC-C949-42CA-8084-20E683588B8A}" id="{9048C656-9F7A-489A-91EA-864196D9E20E}">
    <text>Lets change this every year with the audit POC from the audit firm</text>
  </threadedComment>
  <threadedComment ref="G11" dT="2026-03-27T13:14:04.84" personId="{588B7EBC-C949-42CA-8084-20E683588B8A}" id="{498EA5D7-3AA7-46CB-817F-BB56F3115198}" parentId="{9048C656-9F7A-489A-91EA-864196D9E20E}">
    <text>Currently putting this year audit POC’s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6-03-27T14:38:24.11" personId="{588B7EBC-C949-42CA-8084-20E683588B8A}" id="{F90CF8CE-B367-43AC-A90F-44734706D03B}">
    <text>To check with JK what is this tab about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" dT="2026-02-24T11:32:48.31" personId="{588B7EBC-C949-42CA-8084-20E683588B8A}" id="{B0D576AA-3AC5-4EFF-A93B-2054E212FC55}">
    <text>Link this tab to the remarks section on any regulatory.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iamak.sarbaz@symax-int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hyperlink" Target="mailto:asadm@rsm.ae" TargetMode="External"/><Relationship Id="rId1" Type="http://schemas.openxmlformats.org/officeDocument/2006/relationships/hyperlink" Target="mailto:shaji@scmmadria.com" TargetMode="External"/><Relationship Id="rId6" Type="http://schemas.microsoft.com/office/2017/10/relationships/threadedComment" Target="../threadedComments/threadedComment8.xml"/><Relationship Id="rId5" Type="http://schemas.openxmlformats.org/officeDocument/2006/relationships/comments" Target="../comments8.xml"/><Relationship Id="rId4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activeCell="F20" sqref="F20"/>
    </sheetView>
  </sheetViews>
  <sheetFormatPr defaultColWidth="8.81640625" defaultRowHeight="14.5"/>
  <cols>
    <col min="1" max="1" width="20" bestFit="1" customWidth="1"/>
    <col min="2" max="2" width="17" bestFit="1" customWidth="1"/>
  </cols>
  <sheetData>
    <row r="1" spans="1:8" ht="19">
      <c r="A1" s="42" t="s">
        <v>228</v>
      </c>
      <c r="B1" s="43"/>
      <c r="C1" s="43"/>
      <c r="D1" s="43"/>
      <c r="E1" s="43"/>
      <c r="F1" s="43"/>
      <c r="G1" s="43"/>
      <c r="H1" s="43"/>
    </row>
    <row r="3" spans="1:8" ht="15.5">
      <c r="A3" s="10" t="s">
        <v>0</v>
      </c>
      <c r="B3" s="11">
        <f ca="1">TODAY()</f>
        <v>46109</v>
      </c>
    </row>
    <row r="5" spans="1:8" ht="18.5">
      <c r="A5" s="9" t="s">
        <v>1</v>
      </c>
    </row>
    <row r="7" spans="1:8" ht="15.5">
      <c r="A7" s="10" t="s">
        <v>2</v>
      </c>
      <c r="B7" s="10">
        <f>COUNTA(Entity_Master!A2:A5000)</f>
        <v>11</v>
      </c>
    </row>
    <row r="8" spans="1:8" ht="15.5">
      <c r="A8" s="10" t="s">
        <v>285</v>
      </c>
      <c r="B8" s="10">
        <f>COUNTIF(tblTax[Filing Status (Auto)],"Overdue")</f>
        <v>0</v>
      </c>
    </row>
    <row r="9" spans="1:8" ht="15.5">
      <c r="A9" s="10" t="s">
        <v>286</v>
      </c>
      <c r="B9" s="10">
        <f ca="1">COUNTIF(Table8[Filing Status (Auto)],"Overdue")</f>
        <v>0</v>
      </c>
    </row>
    <row r="10" spans="1:8" ht="15.5">
      <c r="A10" s="10" t="s">
        <v>4</v>
      </c>
      <c r="B10" s="10">
        <f>COUNTIF(Licenses_Regulatory!O2:O4599,"EXPIRED")</f>
        <v>0</v>
      </c>
    </row>
    <row r="11" spans="1:8" ht="15.5">
      <c r="A11" s="10" t="s">
        <v>5</v>
      </c>
      <c r="B11" s="10">
        <f ca="1">COUNTIF(Renewal_Calendar!K2:K4841,"OVERDUE")</f>
        <v>0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>
      <pane ySplit="1" topLeftCell="A2" activePane="bottomLeft" state="frozen"/>
      <selection pane="bottomLeft" activeCell="A8" sqref="A8"/>
    </sheetView>
  </sheetViews>
  <sheetFormatPr defaultColWidth="8.81640625" defaultRowHeight="14.5"/>
  <cols>
    <col min="1" max="1" width="68.1796875" bestFit="1" customWidth="1"/>
    <col min="2" max="8" width="16" customWidth="1"/>
  </cols>
  <sheetData>
    <row r="1" spans="1:8" ht="34" customHeight="1">
      <c r="A1" s="44" t="s">
        <v>227</v>
      </c>
      <c r="B1" s="45"/>
      <c r="C1" s="45"/>
      <c r="D1" s="45"/>
      <c r="E1" s="45"/>
      <c r="F1" s="45"/>
      <c r="G1" s="45"/>
      <c r="H1" s="46"/>
    </row>
    <row r="2" spans="1:8">
      <c r="A2" s="12"/>
      <c r="B2" s="12"/>
      <c r="C2" s="12"/>
      <c r="D2" s="12"/>
      <c r="E2" s="12"/>
      <c r="F2" s="12"/>
      <c r="G2" s="12"/>
      <c r="H2" s="12"/>
    </row>
    <row r="3" spans="1:8" ht="15.5">
      <c r="A3" s="13" t="s">
        <v>6</v>
      </c>
      <c r="B3" s="14" t="s">
        <v>7</v>
      </c>
      <c r="C3" s="12"/>
      <c r="D3" s="12"/>
      <c r="E3" s="12"/>
      <c r="F3" s="12"/>
      <c r="G3" s="12"/>
      <c r="H3" s="12"/>
    </row>
    <row r="4" spans="1:8" ht="18" customHeight="1">
      <c r="A4" s="12"/>
      <c r="B4" s="12"/>
      <c r="C4" s="12"/>
      <c r="D4" s="12"/>
      <c r="E4" s="12"/>
      <c r="F4" s="12"/>
      <c r="G4" s="12"/>
      <c r="H4" s="12"/>
    </row>
    <row r="5" spans="1:8" ht="18" customHeight="1">
      <c r="A5" s="15" t="s">
        <v>8</v>
      </c>
      <c r="B5" s="12"/>
      <c r="C5" s="12"/>
      <c r="D5" s="12"/>
      <c r="E5" s="12"/>
      <c r="F5" s="12"/>
      <c r="G5" s="12"/>
      <c r="H5" s="12"/>
    </row>
    <row r="6" spans="1:8" ht="15.5">
      <c r="A6" s="10" t="s">
        <v>9</v>
      </c>
    </row>
    <row r="7" spans="1:8" ht="15.5">
      <c r="A7" s="10" t="s">
        <v>10</v>
      </c>
    </row>
    <row r="8" spans="1:8" ht="15.5">
      <c r="A8" s="10" t="s">
        <v>11</v>
      </c>
    </row>
    <row r="9" spans="1:8" ht="15.5">
      <c r="A9" s="10" t="s">
        <v>12</v>
      </c>
    </row>
    <row r="10" spans="1:8" ht="15.5">
      <c r="A10" s="10" t="s">
        <v>13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showGridLines="0" topLeftCell="C1" workbookViewId="0">
      <pane ySplit="2" topLeftCell="A3" activePane="bottomLeft" state="frozen"/>
      <selection activeCell="C3" sqref="C3"/>
      <selection pane="bottomLeft" activeCell="C3" sqref="C3"/>
    </sheetView>
  </sheetViews>
  <sheetFormatPr defaultColWidth="8.81640625" defaultRowHeight="14.5"/>
  <cols>
    <col min="1" max="7" width="22" customWidth="1"/>
    <col min="8" max="8" width="23.36328125" bestFit="1" customWidth="1"/>
    <col min="9" max="11" width="22" customWidth="1"/>
    <col min="12" max="12" width="24" customWidth="1"/>
    <col min="13" max="13" width="27" customWidth="1"/>
    <col min="14" max="14" width="21" customWidth="1"/>
    <col min="15" max="15" width="14" customWidth="1"/>
    <col min="16" max="17" width="19" customWidth="1"/>
    <col min="18" max="18" width="16" customWidth="1"/>
    <col min="19" max="19" width="30" customWidth="1"/>
    <col min="20" max="20" width="16" customWidth="1"/>
    <col min="21" max="21" width="21" customWidth="1"/>
  </cols>
  <sheetData>
    <row r="1" spans="1:17" ht="28" customHeight="1">
      <c r="A1" s="47" t="s">
        <v>14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5.5">
      <c r="A2" s="16" t="s">
        <v>15</v>
      </c>
      <c r="B2" s="16" t="s">
        <v>16</v>
      </c>
      <c r="C2" s="16" t="s">
        <v>250</v>
      </c>
      <c r="D2" s="16" t="s">
        <v>17</v>
      </c>
      <c r="E2" s="21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" t="s">
        <v>24</v>
      </c>
      <c r="L2" s="16" t="s">
        <v>245</v>
      </c>
    </row>
    <row r="3" spans="1:17" ht="15.5">
      <c r="A3" s="31" t="s">
        <v>249</v>
      </c>
      <c r="B3" s="31" t="s">
        <v>249</v>
      </c>
      <c r="C3" s="31" t="s">
        <v>249</v>
      </c>
      <c r="D3" s="31" t="s">
        <v>249</v>
      </c>
      <c r="E3" s="31" t="s">
        <v>249</v>
      </c>
      <c r="F3" s="31" t="s">
        <v>249</v>
      </c>
      <c r="G3" s="31" t="s">
        <v>249</v>
      </c>
      <c r="H3" s="31" t="s">
        <v>249</v>
      </c>
      <c r="I3" s="31" t="s">
        <v>249</v>
      </c>
      <c r="J3" s="31" t="s">
        <v>249</v>
      </c>
      <c r="K3" s="31" t="s">
        <v>249</v>
      </c>
      <c r="L3" s="31" t="s">
        <v>249</v>
      </c>
    </row>
    <row r="4" spans="1:17" ht="20" customHeight="1">
      <c r="A4" s="17" t="s">
        <v>25</v>
      </c>
      <c r="B4" s="17" t="s">
        <v>26</v>
      </c>
      <c r="C4" s="17" t="s">
        <v>27</v>
      </c>
      <c r="D4" s="17" t="s">
        <v>28</v>
      </c>
      <c r="E4" s="17" t="s">
        <v>29</v>
      </c>
      <c r="F4" s="17" t="s">
        <v>30</v>
      </c>
      <c r="G4" s="17" t="s">
        <v>31</v>
      </c>
      <c r="H4" s="17" t="s">
        <v>32</v>
      </c>
      <c r="I4" s="17" t="s">
        <v>33</v>
      </c>
      <c r="J4" s="17" t="s">
        <v>34</v>
      </c>
      <c r="K4" t="s">
        <v>35</v>
      </c>
      <c r="L4" s="17" t="s">
        <v>246</v>
      </c>
    </row>
    <row r="5" spans="1:17" ht="15.5">
      <c r="A5" s="17" t="s">
        <v>36</v>
      </c>
      <c r="B5" s="17" t="s">
        <v>37</v>
      </c>
      <c r="C5" s="17" t="s">
        <v>38</v>
      </c>
      <c r="D5" s="17" t="s">
        <v>39</v>
      </c>
      <c r="E5" s="17" t="s">
        <v>40</v>
      </c>
      <c r="F5" s="17" t="s">
        <v>41</v>
      </c>
      <c r="G5" s="17" t="s">
        <v>42</v>
      </c>
      <c r="H5" s="17" t="s">
        <v>43</v>
      </c>
      <c r="I5" s="17" t="s">
        <v>44</v>
      </c>
      <c r="J5" s="17" t="s">
        <v>45</v>
      </c>
      <c r="K5" t="s">
        <v>46</v>
      </c>
      <c r="L5" s="17" t="s">
        <v>247</v>
      </c>
    </row>
    <row r="6" spans="1:17" ht="15.5">
      <c r="A6" s="17" t="s">
        <v>47</v>
      </c>
      <c r="B6" s="17" t="s">
        <v>44</v>
      </c>
      <c r="C6" s="17" t="s">
        <v>48</v>
      </c>
      <c r="D6" s="17" t="s">
        <v>49</v>
      </c>
      <c r="E6" s="17"/>
      <c r="F6" s="17" t="s">
        <v>50</v>
      </c>
      <c r="G6" s="17" t="s">
        <v>51</v>
      </c>
      <c r="H6" s="17" t="s">
        <v>52</v>
      </c>
      <c r="I6" s="17" t="s">
        <v>53</v>
      </c>
      <c r="J6" s="17" t="s">
        <v>54</v>
      </c>
      <c r="K6" t="s">
        <v>55</v>
      </c>
      <c r="L6" s="17" t="s">
        <v>248</v>
      </c>
    </row>
    <row r="7" spans="1:17" ht="15.5">
      <c r="A7" s="17" t="s">
        <v>56</v>
      </c>
      <c r="B7" s="17" t="s">
        <v>57</v>
      </c>
      <c r="C7" s="17" t="s">
        <v>58</v>
      </c>
      <c r="D7" s="17" t="s">
        <v>59</v>
      </c>
      <c r="E7" s="17"/>
      <c r="F7" s="17" t="s">
        <v>60</v>
      </c>
      <c r="G7" s="17" t="s">
        <v>61</v>
      </c>
      <c r="H7" s="17" t="s">
        <v>62</v>
      </c>
      <c r="I7" s="17" t="s">
        <v>63</v>
      </c>
      <c r="J7" s="17" t="s">
        <v>64</v>
      </c>
      <c r="K7" t="s">
        <v>65</v>
      </c>
    </row>
    <row r="8" spans="1:17" ht="15.5">
      <c r="A8" s="17" t="s">
        <v>66</v>
      </c>
      <c r="B8" s="17" t="s">
        <v>67</v>
      </c>
      <c r="C8" s="17" t="s">
        <v>68</v>
      </c>
      <c r="D8" s="17" t="s">
        <v>69</v>
      </c>
      <c r="E8" s="17"/>
      <c r="F8" s="17" t="s">
        <v>70</v>
      </c>
      <c r="G8" s="17" t="s">
        <v>71</v>
      </c>
      <c r="H8" s="17"/>
      <c r="I8" s="17"/>
      <c r="J8" s="17"/>
    </row>
    <row r="9" spans="1:17" ht="15.5">
      <c r="A9" s="17" t="s">
        <v>72</v>
      </c>
      <c r="B9" s="17" t="s">
        <v>73</v>
      </c>
      <c r="C9" s="17" t="s">
        <v>74</v>
      </c>
      <c r="D9" s="17"/>
      <c r="E9" s="17"/>
      <c r="F9" s="17" t="s">
        <v>75</v>
      </c>
      <c r="G9" s="17"/>
      <c r="H9" s="17"/>
      <c r="I9" s="17"/>
      <c r="J9" s="17"/>
    </row>
    <row r="10" spans="1:17" ht="15.5">
      <c r="A10" s="17" t="s">
        <v>76</v>
      </c>
      <c r="B10" s="17"/>
      <c r="C10" s="17"/>
      <c r="D10" s="17"/>
      <c r="E10" s="17"/>
      <c r="F10" s="17" t="s">
        <v>74</v>
      </c>
      <c r="G10" s="17"/>
      <c r="H10" s="17"/>
      <c r="I10" s="17"/>
      <c r="J10" s="17"/>
    </row>
    <row r="11" spans="1:17" ht="15.5">
      <c r="A11" s="17" t="s">
        <v>77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7" ht="15.5">
      <c r="A12" s="17" t="s">
        <v>78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7" ht="15.5">
      <c r="A13" s="17" t="s">
        <v>74</v>
      </c>
      <c r="B13" s="17"/>
      <c r="C13" s="17"/>
      <c r="D13" s="17"/>
      <c r="E13" s="17"/>
      <c r="F13" s="17"/>
      <c r="G13" s="17"/>
      <c r="H13" s="17"/>
      <c r="I13" s="17"/>
      <c r="J13" s="17"/>
    </row>
  </sheetData>
  <mergeCells count="1">
    <mergeCell ref="A1:Q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showGridLines="0" topLeftCell="F1" workbookViewId="0">
      <pane ySplit="1" topLeftCell="A2" activePane="bottomLeft" state="frozen"/>
      <selection pane="bottomLeft" activeCell="L7" sqref="L7"/>
    </sheetView>
  </sheetViews>
  <sheetFormatPr defaultColWidth="8.81640625" defaultRowHeight="15.5" outlineLevelCol="1"/>
  <cols>
    <col min="1" max="1" width="13" style="17" customWidth="1"/>
    <col min="2" max="2" width="24.7265625" style="17" customWidth="1"/>
    <col min="3" max="3" width="17.54296875" style="17" customWidth="1"/>
    <col min="4" max="6" width="19" style="17" customWidth="1"/>
    <col min="7" max="9" width="19" style="17" customWidth="1" outlineLevel="1"/>
    <col min="10" max="10" width="16" style="17" customWidth="1" outlineLevel="1"/>
    <col min="11" max="11" width="21.90625" style="17" customWidth="1"/>
    <col min="12" max="12" width="38.90625" style="17" bestFit="1" customWidth="1"/>
    <col min="13" max="15" width="16" style="17" customWidth="1" outlineLevel="1"/>
    <col min="16" max="16" width="30.54296875" style="17" customWidth="1" outlineLevel="1"/>
    <col min="17" max="17" width="20" style="17" customWidth="1"/>
    <col min="18" max="18" width="14" style="17" customWidth="1"/>
    <col min="19" max="19" width="29" style="17" customWidth="1"/>
    <col min="20" max="20" width="21" style="17" customWidth="1"/>
    <col min="21" max="21" width="17" style="17" customWidth="1"/>
    <col min="22" max="22" width="23" style="17" customWidth="1"/>
    <col min="23" max="23" width="16.6328125" style="17" customWidth="1"/>
    <col min="24" max="24" width="19.36328125" style="17" customWidth="1"/>
    <col min="25" max="16384" width="8.81640625" style="17"/>
  </cols>
  <sheetData>
    <row r="1" spans="1:24" ht="36.5" customHeight="1">
      <c r="A1" s="22" t="s">
        <v>79</v>
      </c>
      <c r="B1" s="22" t="s">
        <v>80</v>
      </c>
      <c r="C1" s="22" t="s">
        <v>81</v>
      </c>
      <c r="D1" s="22" t="s">
        <v>82</v>
      </c>
      <c r="E1" s="22" t="s">
        <v>237</v>
      </c>
      <c r="F1" s="22" t="s">
        <v>240</v>
      </c>
      <c r="G1" s="22" t="s">
        <v>238</v>
      </c>
      <c r="H1" s="22" t="s">
        <v>241</v>
      </c>
      <c r="I1" s="22" t="s">
        <v>239</v>
      </c>
      <c r="J1" s="22" t="s">
        <v>242</v>
      </c>
      <c r="K1" s="30" t="s">
        <v>15</v>
      </c>
      <c r="L1" s="18" t="s">
        <v>108</v>
      </c>
      <c r="M1" s="18" t="s">
        <v>109</v>
      </c>
      <c r="N1" s="18" t="s">
        <v>110</v>
      </c>
      <c r="O1" s="18" t="s">
        <v>111</v>
      </c>
      <c r="P1" s="18" t="s">
        <v>112</v>
      </c>
      <c r="Q1" s="23" t="s">
        <v>83</v>
      </c>
      <c r="R1" s="23" t="s">
        <v>243</v>
      </c>
      <c r="S1" s="22" t="s">
        <v>84</v>
      </c>
      <c r="T1" s="22" t="s">
        <v>85</v>
      </c>
      <c r="U1" s="22" t="s">
        <v>229</v>
      </c>
      <c r="V1" s="22" t="s">
        <v>86</v>
      </c>
      <c r="W1" s="22" t="s">
        <v>87</v>
      </c>
      <c r="X1" s="22" t="s">
        <v>230</v>
      </c>
    </row>
    <row r="2" spans="1:24" ht="31">
      <c r="A2" s="19" t="s">
        <v>89</v>
      </c>
      <c r="B2" s="19" t="s">
        <v>90</v>
      </c>
      <c r="C2" s="19" t="s">
        <v>90</v>
      </c>
      <c r="D2" s="19"/>
      <c r="E2" s="19" t="s">
        <v>244</v>
      </c>
      <c r="F2" s="19">
        <v>100</v>
      </c>
      <c r="G2" s="19"/>
      <c r="H2" s="19"/>
      <c r="I2" s="19"/>
      <c r="J2" s="19"/>
      <c r="K2" s="19" t="s">
        <v>47</v>
      </c>
      <c r="L2" s="19" t="s">
        <v>246</v>
      </c>
      <c r="M2" s="19" t="s">
        <v>252</v>
      </c>
      <c r="N2" s="19" t="s">
        <v>253</v>
      </c>
      <c r="O2" s="19" t="s">
        <v>254</v>
      </c>
      <c r="P2" s="19" t="s">
        <v>255</v>
      </c>
      <c r="Q2" s="19" t="s">
        <v>48</v>
      </c>
      <c r="R2" s="19" t="s">
        <v>34</v>
      </c>
      <c r="S2" s="19" t="s">
        <v>251</v>
      </c>
      <c r="T2" s="19">
        <v>138014</v>
      </c>
      <c r="U2" s="32">
        <v>44449</v>
      </c>
      <c r="V2" s="19" t="s">
        <v>28</v>
      </c>
      <c r="W2" s="19"/>
      <c r="X2" s="19"/>
    </row>
    <row r="3" spans="1:24" ht="31">
      <c r="A3" s="19" t="s">
        <v>91</v>
      </c>
      <c r="B3" s="19" t="s">
        <v>93</v>
      </c>
      <c r="C3" s="19" t="s">
        <v>93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 t="str">
        <f>IFERROR(VLOOKUP($K3,Parameters!$A$5:$D$101,3,FALSE),"")</f>
        <v/>
      </c>
      <c r="R3" s="19" t="str">
        <f>IFERROR(VLOOKUP($K3,Parameters!$A$5:$D$101,4,FALSE),"")</f>
        <v/>
      </c>
      <c r="S3" s="19"/>
      <c r="T3" s="19"/>
      <c r="U3" s="19"/>
      <c r="V3" s="19" t="s">
        <v>28</v>
      </c>
      <c r="W3" s="19"/>
      <c r="X3" s="19"/>
    </row>
    <row r="4" spans="1:24">
      <c r="A4" s="19" t="s">
        <v>92</v>
      </c>
      <c r="B4" s="19" t="s">
        <v>95</v>
      </c>
      <c r="C4" s="19" t="s">
        <v>95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 t="str">
        <f>IFERROR(VLOOKUP($K4,Parameters!$A$5:$D$101,3,FALSE),"")</f>
        <v/>
      </c>
      <c r="R4" s="19" t="str">
        <f>IFERROR(VLOOKUP($K4,Parameters!$A$5:$D$101,4,FALSE),"")</f>
        <v/>
      </c>
      <c r="S4" s="19"/>
      <c r="T4" s="19"/>
      <c r="U4" s="19"/>
      <c r="V4" s="19" t="s">
        <v>28</v>
      </c>
      <c r="W4" s="19"/>
      <c r="X4" s="19"/>
    </row>
    <row r="5" spans="1:24" ht="31">
      <c r="A5" s="19" t="s">
        <v>94</v>
      </c>
      <c r="B5" s="19" t="s">
        <v>97</v>
      </c>
      <c r="C5" s="19" t="s">
        <v>97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 t="str">
        <f>IFERROR(VLOOKUP($K5,Parameters!$A$5:$D$101,3,FALSE),"")</f>
        <v/>
      </c>
      <c r="R5" s="19" t="str">
        <f>IFERROR(VLOOKUP($K5,Parameters!$A$5:$D$101,4,FALSE),"")</f>
        <v/>
      </c>
      <c r="S5" s="19"/>
      <c r="T5" s="19"/>
      <c r="U5" s="19"/>
      <c r="V5" s="19" t="s">
        <v>28</v>
      </c>
      <c r="W5" s="19"/>
      <c r="X5" s="19"/>
    </row>
    <row r="6" spans="1:24" ht="31">
      <c r="A6" s="19" t="s">
        <v>96</v>
      </c>
      <c r="B6" s="19" t="s">
        <v>99</v>
      </c>
      <c r="C6" s="19" t="s">
        <v>99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 t="str">
        <f>IFERROR(VLOOKUP($K6,Parameters!$A$5:$D$101,3,FALSE),"")</f>
        <v/>
      </c>
      <c r="R6" s="19" t="str">
        <f>IFERROR(VLOOKUP($K6,Parameters!$A$5:$D$101,4,FALSE),"")</f>
        <v/>
      </c>
      <c r="S6" s="19"/>
      <c r="T6" s="19"/>
      <c r="U6" s="19"/>
      <c r="V6" s="19" t="s">
        <v>28</v>
      </c>
      <c r="W6" s="19"/>
      <c r="X6" s="19"/>
    </row>
    <row r="7" spans="1:24" ht="31">
      <c r="A7" s="19" t="s">
        <v>98</v>
      </c>
      <c r="B7" s="19" t="s">
        <v>101</v>
      </c>
      <c r="C7" s="19" t="s">
        <v>101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 t="str">
        <f>IFERROR(VLOOKUP($K7,Parameters!$A$5:$D$101,3,FALSE),"")</f>
        <v/>
      </c>
      <c r="R7" s="19" t="str">
        <f>IFERROR(VLOOKUP($K7,Parameters!$A$5:$D$101,4,FALSE),"")</f>
        <v/>
      </c>
      <c r="S7" s="19"/>
      <c r="T7" s="19"/>
      <c r="U7" s="19"/>
      <c r="V7" s="19" t="s">
        <v>28</v>
      </c>
      <c r="W7" s="19"/>
      <c r="X7" s="19"/>
    </row>
    <row r="8" spans="1:24">
      <c r="A8" s="19" t="s">
        <v>100</v>
      </c>
      <c r="B8" s="19" t="s">
        <v>103</v>
      </c>
      <c r="C8" s="19" t="s">
        <v>103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 t="str">
        <f>IFERROR(VLOOKUP($K8,Parameters!$A$5:$D$101,3,FALSE),"")</f>
        <v/>
      </c>
      <c r="R8" s="19" t="str">
        <f>IFERROR(VLOOKUP($K8,Parameters!$A$5:$D$101,4,FALSE),"")</f>
        <v/>
      </c>
      <c r="S8" s="19"/>
      <c r="T8" s="19"/>
      <c r="U8" s="19"/>
      <c r="V8" s="19" t="s">
        <v>28</v>
      </c>
      <c r="W8" s="19"/>
      <c r="X8" s="19"/>
    </row>
    <row r="9" spans="1:24">
      <c r="A9" s="19" t="s">
        <v>102</v>
      </c>
      <c r="B9" s="19" t="s">
        <v>105</v>
      </c>
      <c r="C9" s="19" t="s">
        <v>105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 t="str">
        <f>IFERROR(VLOOKUP($K9,Parameters!$A$5:$D$101,3,FALSE),"")</f>
        <v/>
      </c>
      <c r="R9" s="19" t="str">
        <f>IFERROR(VLOOKUP($K9,Parameters!$A$5:$D$101,4,FALSE),"")</f>
        <v/>
      </c>
      <c r="S9" s="19"/>
      <c r="T9" s="19"/>
      <c r="U9" s="19"/>
      <c r="V9" s="19" t="s">
        <v>28</v>
      </c>
      <c r="W9" s="19"/>
      <c r="X9" s="19"/>
    </row>
    <row r="10" spans="1:24" ht="31">
      <c r="A10" s="19" t="s">
        <v>104</v>
      </c>
      <c r="B10" s="19" t="s">
        <v>107</v>
      </c>
      <c r="C10" s="19" t="s">
        <v>107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 t="str">
        <f>IFERROR(VLOOKUP($K10,Parameters!$A$5:$D$101,3,FALSE),"")</f>
        <v/>
      </c>
      <c r="R10" s="19" t="str">
        <f>IFERROR(VLOOKUP($K10,Parameters!$A$5:$D$101,4,FALSE),"")</f>
        <v/>
      </c>
      <c r="S10" s="19"/>
      <c r="T10" s="19"/>
      <c r="U10" s="19"/>
      <c r="V10" s="19" t="s">
        <v>28</v>
      </c>
      <c r="W10" s="19"/>
      <c r="X10" s="19"/>
    </row>
    <row r="11" spans="1:24">
      <c r="A11" s="19" t="s">
        <v>106</v>
      </c>
      <c r="B11" s="19" t="s">
        <v>232</v>
      </c>
      <c r="C11" s="19" t="s">
        <v>232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 t="str">
        <f>IFERROR(VLOOKUP($K11,Parameters!$A$5:$D$101,3,FALSE),"")</f>
        <v/>
      </c>
      <c r="R11" s="19" t="str">
        <f>IFERROR(VLOOKUP($K11,Parameters!$A$5:$D$101,4,FALSE),"")</f>
        <v/>
      </c>
      <c r="S11" s="19"/>
      <c r="T11" s="19"/>
      <c r="U11" s="19"/>
      <c r="V11" s="19" t="s">
        <v>28</v>
      </c>
      <c r="W11" s="19"/>
      <c r="X11" s="19"/>
    </row>
    <row r="12" spans="1:24">
      <c r="A12" s="19" t="s">
        <v>231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 t="str">
        <f>IFERROR(VLOOKUP($K12,Parameters!$A$5:$D$101,3,FALSE),"")</f>
        <v/>
      </c>
      <c r="R12" s="19" t="str">
        <f>IFERROR(VLOOKUP($K12,Parameters!$A$5:$D$101,4,FALSE),"")</f>
        <v/>
      </c>
      <c r="S12" s="19"/>
      <c r="T12" s="19"/>
      <c r="U12" s="19"/>
      <c r="V12" s="19"/>
      <c r="W12" s="19"/>
      <c r="X12" s="19"/>
    </row>
    <row r="13" spans="1:24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 t="str">
        <f>IFERROR(VLOOKUP($K13,Parameters!$A$5:$D$101,3,FALSE),"")</f>
        <v/>
      </c>
      <c r="R13" s="19" t="str">
        <f>IFERROR(VLOOKUP($K13,Parameters!$A$5:$D$101,4,FALSE),"")</f>
        <v/>
      </c>
      <c r="S13" s="19"/>
      <c r="T13" s="19"/>
      <c r="U13" s="19"/>
      <c r="V13" s="19"/>
      <c r="W13" s="19"/>
      <c r="X13" s="19"/>
    </row>
    <row r="14" spans="1:2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 t="str">
        <f>IFERROR(VLOOKUP($K14,Parameters!$A$5:$D$101,3,FALSE),"")</f>
        <v/>
      </c>
      <c r="R14" s="19" t="str">
        <f>IFERROR(VLOOKUP($K14,Parameters!$A$5:$D$101,4,FALSE),"")</f>
        <v/>
      </c>
      <c r="S14" s="19"/>
      <c r="T14" s="19"/>
      <c r="U14" s="19"/>
      <c r="V14" s="19"/>
      <c r="W14" s="19"/>
      <c r="X14" s="19"/>
    </row>
    <row r="15" spans="1:24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 t="str">
        <f>IFERROR(VLOOKUP($K15,Parameters!$A$5:$D$101,3,FALSE),"")</f>
        <v/>
      </c>
      <c r="R15" s="19" t="str">
        <f>IFERROR(VLOOKUP($K15,Parameters!$A$5:$D$101,4,FALSE),"")</f>
        <v/>
      </c>
      <c r="S15" s="19"/>
      <c r="T15" s="19"/>
      <c r="U15" s="19"/>
      <c r="V15" s="19"/>
      <c r="W15" s="19"/>
      <c r="X15" s="19"/>
    </row>
    <row r="16" spans="1:24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 t="str">
        <f>IFERROR(VLOOKUP($K16,Parameters!$A$5:$D$101,3,FALSE),"")</f>
        <v/>
      </c>
      <c r="R16" s="19" t="str">
        <f>IFERROR(VLOOKUP($K16,Parameters!$A$5:$D$101,4,FALSE),"")</f>
        <v/>
      </c>
      <c r="S16" s="19"/>
      <c r="T16" s="19"/>
      <c r="U16" s="19"/>
      <c r="V16" s="19"/>
      <c r="W16" s="19"/>
      <c r="X16" s="19"/>
    </row>
    <row r="17" spans="1:24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 t="str">
        <f>IFERROR(VLOOKUP($K17,Parameters!$A$5:$D$101,3,FALSE),"")</f>
        <v/>
      </c>
      <c r="R17" s="19" t="str">
        <f>IFERROR(VLOOKUP($K17,Parameters!$A$5:$D$101,4,FALSE),"")</f>
        <v/>
      </c>
      <c r="S17" s="19"/>
      <c r="T17" s="19"/>
      <c r="U17" s="19"/>
      <c r="V17" s="19"/>
      <c r="W17" s="19"/>
      <c r="X17" s="19"/>
    </row>
    <row r="18" spans="1:24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 t="str">
        <f>IFERROR(VLOOKUP($K18,Parameters!$A$5:$D$101,3,FALSE),"")</f>
        <v/>
      </c>
      <c r="R18" s="19" t="str">
        <f>IFERROR(VLOOKUP($K18,Parameters!$A$5:$D$101,4,FALSE),"")</f>
        <v/>
      </c>
      <c r="S18" s="19"/>
      <c r="T18" s="19"/>
      <c r="U18" s="19"/>
      <c r="V18" s="19"/>
      <c r="W18" s="19"/>
      <c r="X18" s="19"/>
    </row>
    <row r="19" spans="1:24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 t="str">
        <f>IFERROR(VLOOKUP($K19,Parameters!$A$5:$D$101,3,FALSE),"")</f>
        <v/>
      </c>
      <c r="R19" s="19" t="str">
        <f>IFERROR(VLOOKUP($K19,Parameters!$A$5:$D$101,4,FALSE),"")</f>
        <v/>
      </c>
      <c r="S19" s="19"/>
      <c r="T19" s="19"/>
      <c r="U19" s="19"/>
      <c r="V19" s="19"/>
      <c r="W19" s="19"/>
      <c r="X19" s="19"/>
    </row>
    <row r="20" spans="1:24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 t="str">
        <f>IFERROR(VLOOKUP($K20,Parameters!$A$5:$D$101,3,FALSE),"")</f>
        <v/>
      </c>
      <c r="R20" s="19" t="str">
        <f>IFERROR(VLOOKUP($K20,Parameters!$A$5:$D$101,4,FALSE),"")</f>
        <v/>
      </c>
      <c r="S20" s="19"/>
      <c r="T20" s="19"/>
      <c r="U20" s="19"/>
      <c r="V20" s="19"/>
      <c r="W20" s="19"/>
      <c r="X20" s="19"/>
    </row>
    <row r="21" spans="1:24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 t="str">
        <f>IFERROR(VLOOKUP($K21,Parameters!$A$5:$D$101,3,FALSE),"")</f>
        <v/>
      </c>
      <c r="R21" s="19" t="str">
        <f>IFERROR(VLOOKUP($K21,Parameters!$A$5:$D$101,4,FALSE),"")</f>
        <v/>
      </c>
      <c r="S21" s="19"/>
      <c r="T21" s="19"/>
      <c r="U21" s="19"/>
      <c r="V21" s="19"/>
      <c r="W21" s="19"/>
      <c r="X21" s="19"/>
    </row>
    <row r="22" spans="1:24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 t="str">
        <f>IFERROR(VLOOKUP($K22,Parameters!$A$5:$D$101,3,FALSE),"")</f>
        <v/>
      </c>
      <c r="R22" s="19" t="str">
        <f>IFERROR(VLOOKUP($K22,Parameters!$A$5:$D$101,4,FALSE),"")</f>
        <v/>
      </c>
      <c r="S22" s="19"/>
      <c r="T22" s="19"/>
      <c r="U22" s="19"/>
      <c r="V22" s="19"/>
      <c r="W22" s="19"/>
      <c r="X22" s="19"/>
    </row>
    <row r="23" spans="1:24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 t="str">
        <f>IFERROR(VLOOKUP($K23,Parameters!$A$5:$D$101,3,FALSE),"")</f>
        <v/>
      </c>
      <c r="R23" s="19" t="str">
        <f>IFERROR(VLOOKUP($K23,Parameters!$A$5:$D$101,4,FALSE),"")</f>
        <v/>
      </c>
      <c r="S23" s="19"/>
      <c r="T23" s="19"/>
      <c r="U23" s="19"/>
      <c r="V23" s="19"/>
      <c r="W23" s="19"/>
      <c r="X23" s="19"/>
    </row>
    <row r="24" spans="1: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 t="str">
        <f>IFERROR(VLOOKUP($K24,Parameters!$A$5:$D$101,3,FALSE),"")</f>
        <v/>
      </c>
      <c r="R24" s="19" t="str">
        <f>IFERROR(VLOOKUP($K24,Parameters!$A$5:$D$101,4,FALSE),"")</f>
        <v/>
      </c>
      <c r="S24" s="19"/>
      <c r="T24" s="19"/>
      <c r="U24" s="19"/>
      <c r="V24" s="19"/>
      <c r="W24" s="19"/>
      <c r="X24" s="19"/>
    </row>
    <row r="25" spans="1:24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 t="str">
        <f>IFERROR(VLOOKUP($K25,Parameters!$A$5:$D$101,3,FALSE),"")</f>
        <v/>
      </c>
      <c r="R25" s="19" t="str">
        <f>IFERROR(VLOOKUP($K25,Parameters!$A$5:$D$101,4,FALSE),"")</f>
        <v/>
      </c>
      <c r="S25" s="19"/>
      <c r="T25" s="19"/>
      <c r="U25" s="19"/>
      <c r="V25" s="19"/>
      <c r="W25" s="19"/>
      <c r="X25" s="19"/>
    </row>
    <row r="26" spans="1:24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 t="str">
        <f>IFERROR(VLOOKUP($K26,Parameters!$A$5:$D$101,3,FALSE),"")</f>
        <v/>
      </c>
      <c r="R26" s="19" t="str">
        <f>IFERROR(VLOOKUP($K26,Parameters!$A$5:$D$101,4,FALSE),"")</f>
        <v/>
      </c>
      <c r="S26" s="19"/>
      <c r="T26" s="19"/>
      <c r="U26" s="19"/>
      <c r="V26" s="19"/>
      <c r="W26" s="19"/>
      <c r="X26" s="19"/>
    </row>
    <row r="27" spans="1:24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 t="str">
        <f>IFERROR(VLOOKUP($K27,Parameters!$A$5:$D$101,3,FALSE),"")</f>
        <v/>
      </c>
      <c r="R27" s="19" t="str">
        <f>IFERROR(VLOOKUP($K27,Parameters!$A$5:$D$101,4,FALSE),"")</f>
        <v/>
      </c>
      <c r="S27" s="19"/>
      <c r="T27" s="19"/>
      <c r="U27" s="19"/>
      <c r="V27" s="19"/>
      <c r="W27" s="19"/>
      <c r="X27" s="19"/>
    </row>
    <row r="28" spans="1:24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 t="str">
        <f>IFERROR(VLOOKUP($K28,Parameters!$A$5:$D$101,3,FALSE),"")</f>
        <v/>
      </c>
      <c r="R28" s="19" t="str">
        <f>IFERROR(VLOOKUP($K28,Parameters!$A$5:$D$101,4,FALSE),"")</f>
        <v/>
      </c>
      <c r="S28" s="19"/>
      <c r="T28" s="19"/>
      <c r="U28" s="19"/>
      <c r="V28" s="19"/>
      <c r="W28" s="19"/>
      <c r="X28" s="19"/>
    </row>
    <row r="29" spans="1:24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 t="str">
        <f>IFERROR(VLOOKUP($K29,Parameters!$A$5:$D$101,3,FALSE),"")</f>
        <v/>
      </c>
      <c r="R29" s="19" t="str">
        <f>IFERROR(VLOOKUP($K29,Parameters!$A$5:$D$101,4,FALSE),"")</f>
        <v/>
      </c>
      <c r="S29" s="19"/>
      <c r="T29" s="19"/>
      <c r="U29" s="19"/>
      <c r="V29" s="19"/>
      <c r="W29" s="19"/>
      <c r="X29" s="19"/>
    </row>
    <row r="30" spans="1:24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 t="str">
        <f>IFERROR(VLOOKUP($K30,Parameters!$A$5:$D$101,3,FALSE),"")</f>
        <v/>
      </c>
      <c r="R30" s="19" t="str">
        <f>IFERROR(VLOOKUP($K30,Parameters!$A$5:$D$101,4,FALSE),"")</f>
        <v/>
      </c>
      <c r="S30" s="19"/>
      <c r="T30" s="19"/>
      <c r="U30" s="19"/>
      <c r="V30" s="19"/>
      <c r="W30" s="19"/>
      <c r="X30" s="19"/>
    </row>
    <row r="31" spans="1:24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 t="str">
        <f>IFERROR(VLOOKUP($K31,Parameters!$A$5:$D$101,3,FALSE),"")</f>
        <v/>
      </c>
      <c r="R31" s="19" t="str">
        <f>IFERROR(VLOOKUP($K31,Parameters!$A$5:$D$101,4,FALSE),"")</f>
        <v/>
      </c>
      <c r="S31" s="19"/>
      <c r="T31" s="19"/>
      <c r="U31" s="19"/>
      <c r="V31" s="19"/>
      <c r="W31" s="19"/>
      <c r="X31" s="19"/>
    </row>
    <row r="32" spans="1:24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 t="str">
        <f>IFERROR(VLOOKUP($K32,Parameters!$A$5:$D$101,3,FALSE),"")</f>
        <v/>
      </c>
      <c r="R32" s="19" t="str">
        <f>IFERROR(VLOOKUP($K32,Parameters!$A$5:$D$101,4,FALSE),"")</f>
        <v/>
      </c>
      <c r="S32" s="19"/>
      <c r="T32" s="19"/>
      <c r="U32" s="19"/>
      <c r="V32" s="19"/>
      <c r="W32" s="19"/>
      <c r="X32" s="19"/>
    </row>
    <row r="33" spans="1:24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 t="str">
        <f>IFERROR(VLOOKUP($K33,Parameters!$A$5:$D$101,3,FALSE),"")</f>
        <v/>
      </c>
      <c r="R33" s="19" t="str">
        <f>IFERROR(VLOOKUP($K33,Parameters!$A$5:$D$101,4,FALSE),"")</f>
        <v/>
      </c>
      <c r="S33" s="19"/>
      <c r="T33" s="19"/>
      <c r="U33" s="19"/>
      <c r="V33" s="19"/>
      <c r="W33" s="19"/>
      <c r="X33" s="19"/>
    </row>
    <row r="34" spans="1:2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 t="str">
        <f>IFERROR(VLOOKUP($K34,Parameters!$A$5:$D$101,3,FALSE),"")</f>
        <v/>
      </c>
      <c r="R34" s="19" t="str">
        <f>IFERROR(VLOOKUP($K34,Parameters!$A$5:$D$101,4,FALSE),"")</f>
        <v/>
      </c>
      <c r="S34" s="19"/>
      <c r="T34" s="19"/>
      <c r="U34" s="19"/>
      <c r="V34" s="19"/>
      <c r="W34" s="19"/>
      <c r="X34" s="19"/>
    </row>
    <row r="35" spans="1:24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 t="str">
        <f>IFERROR(VLOOKUP($K35,Parameters!$A$5:$D$101,3,FALSE),"")</f>
        <v/>
      </c>
      <c r="R35" s="19" t="str">
        <f>IFERROR(VLOOKUP($K35,Parameters!$A$5:$D$101,4,FALSE),"")</f>
        <v/>
      </c>
      <c r="S35" s="19"/>
      <c r="T35" s="19"/>
      <c r="U35" s="19"/>
      <c r="V35" s="19"/>
      <c r="W35" s="19"/>
      <c r="X35" s="19"/>
    </row>
    <row r="36" spans="1:24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 t="str">
        <f>IFERROR(VLOOKUP($K36,Parameters!$A$5:$D$101,3,FALSE),"")</f>
        <v/>
      </c>
      <c r="R36" s="19" t="str">
        <f>IFERROR(VLOOKUP($K36,Parameters!$A$5:$D$101,4,FALSE),"")</f>
        <v/>
      </c>
      <c r="S36" s="19"/>
      <c r="T36" s="19"/>
      <c r="U36" s="19"/>
      <c r="V36" s="19"/>
      <c r="W36" s="19"/>
      <c r="X36" s="19"/>
    </row>
    <row r="37" spans="1:24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 t="str">
        <f>IFERROR(VLOOKUP($K37,Parameters!$A$5:$D$101,3,FALSE),"")</f>
        <v/>
      </c>
      <c r="R37" s="19" t="str">
        <f>IFERROR(VLOOKUP($K37,Parameters!$A$5:$D$101,4,FALSE),"")</f>
        <v/>
      </c>
      <c r="S37" s="19"/>
      <c r="T37" s="19"/>
      <c r="U37" s="19"/>
      <c r="V37" s="19"/>
      <c r="W37" s="19"/>
      <c r="X37" s="19"/>
    </row>
    <row r="38" spans="1:24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 t="str">
        <f>IFERROR(VLOOKUP($K38,Parameters!$A$5:$D$101,3,FALSE),"")</f>
        <v/>
      </c>
      <c r="R38" s="19" t="str">
        <f>IFERROR(VLOOKUP($K38,Parameters!$A$5:$D$101,4,FALSE),"")</f>
        <v/>
      </c>
      <c r="S38" s="19"/>
      <c r="T38" s="19"/>
      <c r="U38" s="19"/>
      <c r="V38" s="19"/>
      <c r="W38" s="19"/>
      <c r="X38" s="19"/>
    </row>
    <row r="39" spans="1:24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 t="str">
        <f>IFERROR(VLOOKUP($K39,Parameters!$A$5:$D$101,3,FALSE),"")</f>
        <v/>
      </c>
      <c r="R39" s="19" t="str">
        <f>IFERROR(VLOOKUP($K39,Parameters!$A$5:$D$101,4,FALSE),"")</f>
        <v/>
      </c>
      <c r="S39" s="19"/>
      <c r="T39" s="19"/>
      <c r="U39" s="19"/>
      <c r="V39" s="19"/>
      <c r="W39" s="19"/>
      <c r="X39" s="19"/>
    </row>
    <row r="40" spans="1:24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 t="str">
        <f>IFERROR(VLOOKUP($K40,Parameters!$A$5:$D$101,3,FALSE),"")</f>
        <v/>
      </c>
      <c r="R40" s="19" t="str">
        <f>IFERROR(VLOOKUP($K40,Parameters!$A$5:$D$101,4,FALSE),"")</f>
        <v/>
      </c>
      <c r="S40" s="19"/>
      <c r="T40" s="19"/>
      <c r="U40" s="19"/>
      <c r="V40" s="19"/>
      <c r="W40" s="19"/>
      <c r="X40" s="19"/>
    </row>
    <row r="41" spans="1:24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 t="str">
        <f>IFERROR(VLOOKUP($K41,Parameters!$A$5:$D$101,3,FALSE),"")</f>
        <v/>
      </c>
      <c r="R41" s="19" t="str">
        <f>IFERROR(VLOOKUP($K41,Parameters!$A$5:$D$101,4,FALSE),"")</f>
        <v/>
      </c>
      <c r="S41" s="19"/>
      <c r="T41" s="19"/>
      <c r="U41" s="19"/>
      <c r="V41" s="19"/>
      <c r="W41" s="19"/>
      <c r="X41" s="19"/>
    </row>
    <row r="42" spans="1:24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 t="str">
        <f>IFERROR(VLOOKUP($K42,Parameters!$A$5:$D$101,3,FALSE),"")</f>
        <v/>
      </c>
      <c r="R42" s="19" t="str">
        <f>IFERROR(VLOOKUP($K42,Parameters!$A$5:$D$101,4,FALSE),"")</f>
        <v/>
      </c>
      <c r="S42" s="19"/>
      <c r="T42" s="19"/>
      <c r="U42" s="19"/>
      <c r="V42" s="19"/>
      <c r="W42" s="19"/>
      <c r="X42" s="19"/>
    </row>
    <row r="43" spans="1:24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 t="str">
        <f>IFERROR(VLOOKUP($K43,Parameters!$A$5:$D$101,3,FALSE),"")</f>
        <v/>
      </c>
      <c r="R43" s="19" t="str">
        <f>IFERROR(VLOOKUP($K43,Parameters!$A$5:$D$101,4,FALSE),"")</f>
        <v/>
      </c>
      <c r="S43" s="19"/>
      <c r="T43" s="19"/>
      <c r="U43" s="19"/>
      <c r="V43" s="19"/>
      <c r="W43" s="19"/>
      <c r="X43" s="19"/>
    </row>
    <row r="44" spans="1:2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 t="str">
        <f>IFERROR(VLOOKUP($K44,Parameters!$A$5:$D$101,3,FALSE),"")</f>
        <v/>
      </c>
      <c r="R44" s="19" t="str">
        <f>IFERROR(VLOOKUP($K44,Parameters!$A$5:$D$101,4,FALSE),"")</f>
        <v/>
      </c>
      <c r="S44" s="19"/>
      <c r="T44" s="19"/>
      <c r="U44" s="19"/>
      <c r="V44" s="19"/>
      <c r="W44" s="19"/>
      <c r="X44" s="19"/>
    </row>
    <row r="45" spans="1:24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 t="str">
        <f>IFERROR(VLOOKUP($K45,Parameters!$A$5:$D$101,3,FALSE),"")</f>
        <v/>
      </c>
      <c r="R45" s="19" t="str">
        <f>IFERROR(VLOOKUP($K45,Parameters!$A$5:$D$101,4,FALSE),"")</f>
        <v/>
      </c>
      <c r="S45" s="19"/>
      <c r="T45" s="19"/>
      <c r="U45" s="19"/>
      <c r="V45" s="19"/>
      <c r="W45" s="19"/>
      <c r="X45" s="19"/>
    </row>
    <row r="46" spans="1:24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 t="str">
        <f>IFERROR(VLOOKUP($K46,Parameters!$A$5:$D$101,3,FALSE),"")</f>
        <v/>
      </c>
      <c r="R46" s="19" t="str">
        <f>IFERROR(VLOOKUP($K46,Parameters!$A$5:$D$101,4,FALSE),"")</f>
        <v/>
      </c>
      <c r="S46" s="19"/>
      <c r="T46" s="19"/>
      <c r="U46" s="19"/>
      <c r="V46" s="19"/>
      <c r="W46" s="19"/>
      <c r="X46" s="19"/>
    </row>
    <row r="47" spans="1:24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 t="str">
        <f>IFERROR(VLOOKUP($K47,Parameters!$A$5:$D$101,3,FALSE),"")</f>
        <v/>
      </c>
      <c r="R47" s="19" t="str">
        <f>IFERROR(VLOOKUP($K47,Parameters!$A$5:$D$101,4,FALSE),"")</f>
        <v/>
      </c>
      <c r="S47" s="19"/>
      <c r="T47" s="19"/>
      <c r="U47" s="19"/>
      <c r="V47" s="19"/>
      <c r="W47" s="19"/>
      <c r="X47" s="19"/>
    </row>
    <row r="48" spans="1:24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 t="str">
        <f>IFERROR(VLOOKUP($K48,Parameters!$A$5:$D$101,3,FALSE),"")</f>
        <v/>
      </c>
      <c r="R48" s="19" t="str">
        <f>IFERROR(VLOOKUP($K48,Parameters!$A$5:$D$101,4,FALSE),"")</f>
        <v/>
      </c>
      <c r="S48" s="19"/>
      <c r="T48" s="19"/>
      <c r="U48" s="19"/>
      <c r="V48" s="19"/>
      <c r="W48" s="19"/>
      <c r="X48" s="19"/>
    </row>
    <row r="49" spans="1:24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 t="str">
        <f>IFERROR(VLOOKUP($K49,Parameters!$A$5:$D$101,3,FALSE),"")</f>
        <v/>
      </c>
      <c r="R49" s="19" t="str">
        <f>IFERROR(VLOOKUP($K49,Parameters!$A$5:$D$101,4,FALSE),"")</f>
        <v/>
      </c>
      <c r="S49" s="19"/>
      <c r="T49" s="19"/>
      <c r="U49" s="19"/>
      <c r="V49" s="19"/>
      <c r="W49" s="19"/>
      <c r="X49" s="19"/>
    </row>
    <row r="50" spans="1:24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 t="str">
        <f>IFERROR(VLOOKUP($K50,Parameters!$A$5:$D$101,3,FALSE),"")</f>
        <v/>
      </c>
      <c r="R50" s="19" t="str">
        <f>IFERROR(VLOOKUP($K50,Parameters!$A$5:$D$101,4,FALSE),"")</f>
        <v/>
      </c>
      <c r="S50" s="19"/>
      <c r="T50" s="19"/>
      <c r="U50" s="19"/>
      <c r="V50" s="19"/>
      <c r="W50" s="19"/>
      <c r="X50" s="19"/>
    </row>
    <row r="51" spans="1:24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 t="str">
        <f>IFERROR(VLOOKUP($K51,Parameters!$A$5:$D$101,3,FALSE),"")</f>
        <v/>
      </c>
      <c r="R51" s="19" t="str">
        <f>IFERROR(VLOOKUP($K51,Parameters!$A$5:$D$101,4,FALSE),"")</f>
        <v/>
      </c>
      <c r="S51" s="19"/>
      <c r="T51" s="19"/>
      <c r="U51" s="19"/>
      <c r="V51" s="19"/>
      <c r="W51" s="19"/>
      <c r="X51" s="19"/>
    </row>
    <row r="52" spans="1:24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 t="str">
        <f>IFERROR(VLOOKUP($K52,Parameters!$A$5:$D$101,3,FALSE),"")</f>
        <v/>
      </c>
      <c r="R52" s="19" t="str">
        <f>IFERROR(VLOOKUP($K52,Parameters!$A$5:$D$101,4,FALSE),"")</f>
        <v/>
      </c>
      <c r="S52" s="19"/>
      <c r="T52" s="19"/>
      <c r="U52" s="19"/>
      <c r="V52" s="19"/>
      <c r="W52" s="19"/>
      <c r="X52" s="19"/>
    </row>
    <row r="53" spans="1:24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 t="str">
        <f>IFERROR(VLOOKUP($K53,Parameters!$A$5:$D$101,3,FALSE),"")</f>
        <v/>
      </c>
      <c r="R53" s="19" t="str">
        <f>IFERROR(VLOOKUP($K53,Parameters!$A$5:$D$101,4,FALSE),"")</f>
        <v/>
      </c>
      <c r="S53" s="19"/>
      <c r="T53" s="19"/>
      <c r="U53" s="19"/>
      <c r="V53" s="19"/>
      <c r="W53" s="19"/>
      <c r="X53" s="19"/>
    </row>
    <row r="54" spans="1:2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 t="str">
        <f>IFERROR(VLOOKUP($K54,Parameters!$A$5:$D$101,3,FALSE),"")</f>
        <v/>
      </c>
      <c r="R54" s="19" t="str">
        <f>IFERROR(VLOOKUP($K54,Parameters!$A$5:$D$101,4,FALSE),"")</f>
        <v/>
      </c>
      <c r="S54" s="19"/>
      <c r="T54" s="19"/>
      <c r="U54" s="19"/>
      <c r="V54" s="19"/>
      <c r="W54" s="19"/>
      <c r="X54" s="19"/>
    </row>
    <row r="55" spans="1:24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 t="str">
        <f>IFERROR(VLOOKUP($K55,Parameters!$A$5:$D$101,3,FALSE),"")</f>
        <v/>
      </c>
      <c r="R55" s="19" t="str">
        <f>IFERROR(VLOOKUP($K55,Parameters!$A$5:$D$101,4,FALSE),"")</f>
        <v/>
      </c>
      <c r="S55" s="19"/>
      <c r="T55" s="19"/>
      <c r="U55" s="19"/>
      <c r="V55" s="19"/>
      <c r="W55" s="19"/>
      <c r="X55" s="19"/>
    </row>
    <row r="56" spans="1:24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 t="str">
        <f>IFERROR(VLOOKUP($K56,Parameters!$A$5:$D$101,3,FALSE),"")</f>
        <v/>
      </c>
      <c r="R56" s="19" t="str">
        <f>IFERROR(VLOOKUP($K56,Parameters!$A$5:$D$101,4,FALSE),"")</f>
        <v/>
      </c>
      <c r="S56" s="19"/>
      <c r="T56" s="19"/>
      <c r="U56" s="19"/>
      <c r="V56" s="19"/>
      <c r="W56" s="19"/>
      <c r="X56" s="19"/>
    </row>
    <row r="57" spans="1:24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 t="str">
        <f>IFERROR(VLOOKUP($K57,Parameters!$A$5:$D$101,3,FALSE),"")</f>
        <v/>
      </c>
      <c r="R57" s="19" t="str">
        <f>IFERROR(VLOOKUP($K57,Parameters!$A$5:$D$101,4,FALSE),"")</f>
        <v/>
      </c>
      <c r="S57" s="19"/>
      <c r="T57" s="19"/>
      <c r="U57" s="19"/>
      <c r="V57" s="19"/>
      <c r="W57" s="19"/>
      <c r="X57" s="19"/>
    </row>
    <row r="58" spans="1:24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 t="str">
        <f>IFERROR(VLOOKUP($K58,Parameters!$A$5:$D$101,3,FALSE),"")</f>
        <v/>
      </c>
      <c r="R58" s="19" t="str">
        <f>IFERROR(VLOOKUP($K58,Parameters!$A$5:$D$101,4,FALSE),"")</f>
        <v/>
      </c>
      <c r="S58" s="19"/>
      <c r="T58" s="19"/>
      <c r="U58" s="19"/>
      <c r="V58" s="19"/>
      <c r="W58" s="19"/>
      <c r="X58" s="19"/>
    </row>
    <row r="59" spans="1:24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 t="str">
        <f>IFERROR(VLOOKUP($K59,Parameters!$A$5:$D$101,3,FALSE),"")</f>
        <v/>
      </c>
      <c r="R59" s="19" t="str">
        <f>IFERROR(VLOOKUP($K59,Parameters!$A$5:$D$101,4,FALSE),"")</f>
        <v/>
      </c>
      <c r="S59" s="19"/>
      <c r="T59" s="19"/>
      <c r="U59" s="19"/>
      <c r="V59" s="19"/>
      <c r="W59" s="19"/>
      <c r="X59" s="19"/>
    </row>
    <row r="60" spans="1:24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 t="str">
        <f>IFERROR(VLOOKUP($K60,Parameters!$A$5:$D$101,3,FALSE),"")</f>
        <v/>
      </c>
      <c r="R60" s="19" t="str">
        <f>IFERROR(VLOOKUP($K60,Parameters!$A$5:$D$101,4,FALSE),"")</f>
        <v/>
      </c>
      <c r="S60" s="19"/>
      <c r="T60" s="19"/>
      <c r="U60" s="19"/>
      <c r="V60" s="19"/>
      <c r="W60" s="19"/>
      <c r="X60" s="19"/>
    </row>
    <row r="61" spans="1:24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 t="str">
        <f>IFERROR(VLOOKUP($K61,Parameters!$A$5:$D$101,3,FALSE),"")</f>
        <v/>
      </c>
      <c r="R61" s="19" t="str">
        <f>IFERROR(VLOOKUP($K61,Parameters!$A$5:$D$101,4,FALSE),"")</f>
        <v/>
      </c>
      <c r="S61" s="19"/>
      <c r="T61" s="19"/>
      <c r="U61" s="19"/>
      <c r="V61" s="19"/>
      <c r="W61" s="19"/>
      <c r="X61" s="19"/>
    </row>
    <row r="62" spans="1:24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 t="str">
        <f>IFERROR(VLOOKUP($K62,Parameters!$A$5:$D$101,3,FALSE),"")</f>
        <v/>
      </c>
      <c r="R62" s="19" t="str">
        <f>IFERROR(VLOOKUP($K62,Parameters!$A$5:$D$101,4,FALSE),"")</f>
        <v/>
      </c>
      <c r="S62" s="19"/>
      <c r="T62" s="19"/>
      <c r="U62" s="19"/>
      <c r="V62" s="19"/>
      <c r="W62" s="19"/>
      <c r="X62" s="19"/>
    </row>
    <row r="63" spans="1:24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 t="str">
        <f>IFERROR(VLOOKUP($K63,Parameters!$A$5:$D$101,3,FALSE),"")</f>
        <v/>
      </c>
      <c r="R63" s="19" t="str">
        <f>IFERROR(VLOOKUP($K63,Parameters!$A$5:$D$101,4,FALSE),"")</f>
        <v/>
      </c>
      <c r="S63" s="19"/>
      <c r="T63" s="19"/>
      <c r="U63" s="19"/>
      <c r="V63" s="19"/>
      <c r="W63" s="19"/>
      <c r="X63" s="19"/>
    </row>
    <row r="64" spans="1:2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 t="str">
        <f>IFERROR(VLOOKUP($K64,Parameters!$A$5:$D$101,3,FALSE),"")</f>
        <v/>
      </c>
      <c r="R64" s="19" t="str">
        <f>IFERROR(VLOOKUP($K64,Parameters!$A$5:$D$101,4,FALSE),"")</f>
        <v/>
      </c>
      <c r="S64" s="19"/>
      <c r="T64" s="19"/>
      <c r="U64" s="19"/>
      <c r="V64" s="19"/>
      <c r="W64" s="19"/>
      <c r="X64" s="19"/>
    </row>
    <row r="65" spans="1:24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 t="str">
        <f>IFERROR(VLOOKUP($K65,Parameters!$A$5:$D$101,3,FALSE),"")</f>
        <v/>
      </c>
      <c r="R65" s="19" t="str">
        <f>IFERROR(VLOOKUP($K65,Parameters!$A$5:$D$101,4,FALSE),"")</f>
        <v/>
      </c>
      <c r="S65" s="19"/>
      <c r="T65" s="19"/>
      <c r="U65" s="19"/>
      <c r="V65" s="19"/>
      <c r="W65" s="19"/>
      <c r="X65" s="19"/>
    </row>
    <row r="66" spans="1:24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 t="str">
        <f>IFERROR(VLOOKUP($K66,Parameters!$A$5:$D$101,3,FALSE),"")</f>
        <v/>
      </c>
      <c r="R66" s="19" t="str">
        <f>IFERROR(VLOOKUP($K66,Parameters!$A$5:$D$101,4,FALSE),"")</f>
        <v/>
      </c>
      <c r="S66" s="19"/>
      <c r="T66" s="19"/>
      <c r="U66" s="19"/>
      <c r="V66" s="19"/>
      <c r="W66" s="19"/>
      <c r="X66" s="19"/>
    </row>
    <row r="67" spans="1:24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 t="str">
        <f>IFERROR(VLOOKUP($K67,Parameters!$A$5:$D$101,3,FALSE),"")</f>
        <v/>
      </c>
      <c r="R67" s="19" t="str">
        <f>IFERROR(VLOOKUP($K67,Parameters!$A$5:$D$101,4,FALSE),"")</f>
        <v/>
      </c>
      <c r="S67" s="19"/>
      <c r="T67" s="19"/>
      <c r="U67" s="19"/>
      <c r="V67" s="19"/>
      <c r="W67" s="19"/>
      <c r="X67" s="19"/>
    </row>
    <row r="68" spans="1:24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 t="str">
        <f>IFERROR(VLOOKUP($K68,Parameters!$A$5:$D$101,3,FALSE),"")</f>
        <v/>
      </c>
      <c r="R68" s="19" t="str">
        <f>IFERROR(VLOOKUP($K68,Parameters!$A$5:$D$101,4,FALSE),"")</f>
        <v/>
      </c>
      <c r="S68" s="19"/>
      <c r="T68" s="19"/>
      <c r="U68" s="19"/>
      <c r="V68" s="19"/>
      <c r="W68" s="19"/>
      <c r="X68" s="19"/>
    </row>
    <row r="69" spans="1:24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 t="str">
        <f>IFERROR(VLOOKUP($K69,Parameters!$A$5:$D$101,3,FALSE),"")</f>
        <v/>
      </c>
      <c r="R69" s="19" t="str">
        <f>IFERROR(VLOOKUP($K69,Parameters!$A$5:$D$101,4,FALSE),"")</f>
        <v/>
      </c>
      <c r="S69" s="19"/>
      <c r="T69" s="19"/>
      <c r="U69" s="19"/>
      <c r="V69" s="19"/>
      <c r="W69" s="19"/>
      <c r="X69" s="19"/>
    </row>
    <row r="70" spans="1:24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 t="str">
        <f>IFERROR(VLOOKUP($K70,Parameters!$A$5:$D$101,3,FALSE),"")</f>
        <v/>
      </c>
      <c r="R70" s="19" t="str">
        <f>IFERROR(VLOOKUP($K70,Parameters!$A$5:$D$101,4,FALSE),"")</f>
        <v/>
      </c>
      <c r="S70" s="19"/>
      <c r="T70" s="19"/>
      <c r="U70" s="19"/>
      <c r="V70" s="19"/>
      <c r="W70" s="19"/>
      <c r="X70" s="19"/>
    </row>
    <row r="71" spans="1:24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 t="str">
        <f>IFERROR(VLOOKUP($K71,Parameters!$A$5:$D$101,3,FALSE),"")</f>
        <v/>
      </c>
      <c r="R71" s="19" t="str">
        <f>IFERROR(VLOOKUP($K71,Parameters!$A$5:$D$101,4,FALSE),"")</f>
        <v/>
      </c>
      <c r="S71" s="19"/>
      <c r="T71" s="19"/>
      <c r="U71" s="19"/>
      <c r="V71" s="19"/>
      <c r="W71" s="19"/>
      <c r="X71" s="19"/>
    </row>
    <row r="72" spans="1:24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 t="str">
        <f>IFERROR(VLOOKUP($K72,Parameters!$A$5:$D$101,3,FALSE),"")</f>
        <v/>
      </c>
      <c r="R72" s="19" t="str">
        <f>IFERROR(VLOOKUP($K72,Parameters!$A$5:$D$101,4,FALSE),"")</f>
        <v/>
      </c>
      <c r="S72" s="19"/>
      <c r="T72" s="19"/>
      <c r="U72" s="19"/>
      <c r="V72" s="19"/>
      <c r="W72" s="19"/>
      <c r="X72" s="19"/>
    </row>
    <row r="73" spans="1:24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 t="str">
        <f>IFERROR(VLOOKUP($K73,Parameters!$A$5:$D$101,3,FALSE),"")</f>
        <v/>
      </c>
      <c r="R73" s="19" t="str">
        <f>IFERROR(VLOOKUP($K73,Parameters!$A$5:$D$101,4,FALSE),"")</f>
        <v/>
      </c>
      <c r="S73" s="19"/>
      <c r="T73" s="19"/>
      <c r="U73" s="19"/>
      <c r="V73" s="19"/>
      <c r="W73" s="19"/>
      <c r="X73" s="19"/>
    </row>
    <row r="74" spans="1:2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 t="str">
        <f>IFERROR(VLOOKUP($K74,Parameters!$A$5:$D$101,3,FALSE),"")</f>
        <v/>
      </c>
      <c r="R74" s="19" t="str">
        <f>IFERROR(VLOOKUP($K74,Parameters!$A$5:$D$101,4,FALSE),"")</f>
        <v/>
      </c>
      <c r="S74" s="19"/>
      <c r="T74" s="19"/>
      <c r="U74" s="19"/>
      <c r="V74" s="19"/>
      <c r="W74" s="19"/>
      <c r="X74" s="19"/>
    </row>
    <row r="75" spans="1:24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 t="str">
        <f>IFERROR(VLOOKUP($K75,Parameters!$A$5:$D$101,3,FALSE),"")</f>
        <v/>
      </c>
      <c r="R75" s="19" t="str">
        <f>IFERROR(VLOOKUP($K75,Parameters!$A$5:$D$101,4,FALSE),"")</f>
        <v/>
      </c>
      <c r="S75" s="19"/>
      <c r="T75" s="19"/>
      <c r="U75" s="19"/>
      <c r="V75" s="19"/>
      <c r="W75" s="19"/>
      <c r="X75" s="19"/>
    </row>
    <row r="76" spans="1:24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 t="str">
        <f>IFERROR(VLOOKUP($K76,Parameters!$A$5:$D$101,3,FALSE),"")</f>
        <v/>
      </c>
      <c r="R76" s="19" t="str">
        <f>IFERROR(VLOOKUP($K76,Parameters!$A$5:$D$101,4,FALSE),"")</f>
        <v/>
      </c>
      <c r="S76" s="19"/>
      <c r="T76" s="19"/>
      <c r="U76" s="19"/>
      <c r="V76" s="19"/>
      <c r="W76" s="19"/>
      <c r="X76" s="19"/>
    </row>
    <row r="77" spans="1:24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 t="str">
        <f>IFERROR(VLOOKUP($K77,Parameters!$A$5:$D$101,3,FALSE),"")</f>
        <v/>
      </c>
      <c r="R77" s="19" t="str">
        <f>IFERROR(VLOOKUP($K77,Parameters!$A$5:$D$101,4,FALSE),"")</f>
        <v/>
      </c>
      <c r="S77" s="19"/>
      <c r="T77" s="19"/>
      <c r="U77" s="19"/>
      <c r="V77" s="19"/>
      <c r="W77" s="19"/>
      <c r="X77" s="19"/>
    </row>
    <row r="78" spans="1:24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 t="str">
        <f>IFERROR(VLOOKUP($K78,Parameters!$A$5:$D$101,3,FALSE),"")</f>
        <v/>
      </c>
      <c r="R78" s="19" t="str">
        <f>IFERROR(VLOOKUP($K78,Parameters!$A$5:$D$101,4,FALSE),"")</f>
        <v/>
      </c>
      <c r="S78" s="19"/>
      <c r="T78" s="19"/>
      <c r="U78" s="19"/>
      <c r="V78" s="19"/>
      <c r="W78" s="19"/>
      <c r="X78" s="19"/>
    </row>
    <row r="79" spans="1:24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 t="str">
        <f>IFERROR(VLOOKUP($K79,Parameters!$A$5:$D$101,3,FALSE),"")</f>
        <v/>
      </c>
      <c r="R79" s="19" t="str">
        <f>IFERROR(VLOOKUP($K79,Parameters!$A$5:$D$101,4,FALSE),"")</f>
        <v/>
      </c>
      <c r="S79" s="19"/>
      <c r="T79" s="19"/>
      <c r="U79" s="19"/>
      <c r="V79" s="19"/>
      <c r="W79" s="19"/>
      <c r="X79" s="19"/>
    </row>
    <row r="80" spans="1:24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 t="str">
        <f>IFERROR(VLOOKUP($K80,Parameters!$A$5:$D$101,3,FALSE),"")</f>
        <v/>
      </c>
      <c r="R80" s="19" t="str">
        <f>IFERROR(VLOOKUP($K80,Parameters!$A$5:$D$101,4,FALSE),"")</f>
        <v/>
      </c>
      <c r="S80" s="19"/>
      <c r="T80" s="19"/>
      <c r="U80" s="19"/>
      <c r="V80" s="19"/>
      <c r="W80" s="19"/>
      <c r="X80" s="19"/>
    </row>
    <row r="81" spans="1:24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 t="str">
        <f>IFERROR(VLOOKUP($K81,Parameters!$A$5:$D$101,3,FALSE),"")</f>
        <v/>
      </c>
      <c r="R81" s="19" t="str">
        <f>IFERROR(VLOOKUP($K81,Parameters!$A$5:$D$101,4,FALSE),"")</f>
        <v/>
      </c>
      <c r="S81" s="19"/>
      <c r="T81" s="19"/>
      <c r="U81" s="19"/>
      <c r="V81" s="19"/>
      <c r="W81" s="19"/>
      <c r="X81" s="19"/>
    </row>
    <row r="82" spans="1:24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 t="str">
        <f>IFERROR(VLOOKUP($K82,Parameters!$A$5:$D$101,3,FALSE),"")</f>
        <v/>
      </c>
      <c r="R82" s="19" t="str">
        <f>IFERROR(VLOOKUP($K82,Parameters!$A$5:$D$101,4,FALSE),"")</f>
        <v/>
      </c>
      <c r="S82" s="19"/>
      <c r="T82" s="19"/>
      <c r="U82" s="19"/>
      <c r="V82" s="19"/>
      <c r="W82" s="19"/>
      <c r="X82" s="19"/>
    </row>
    <row r="83" spans="1:24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 t="str">
        <f>IFERROR(VLOOKUP($K83,Parameters!$A$5:$D$101,3,FALSE),"")</f>
        <v/>
      </c>
      <c r="R83" s="19" t="str">
        <f>IFERROR(VLOOKUP($K83,Parameters!$A$5:$D$101,4,FALSE),"")</f>
        <v/>
      </c>
      <c r="S83" s="19"/>
      <c r="T83" s="19"/>
      <c r="U83" s="19"/>
      <c r="V83" s="19"/>
      <c r="W83" s="19"/>
      <c r="X83" s="19"/>
    </row>
    <row r="84" spans="1:2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 t="str">
        <f>IFERROR(VLOOKUP($K84,Parameters!$A$5:$D$101,3,FALSE),"")</f>
        <v/>
      </c>
      <c r="R84" s="19" t="str">
        <f>IFERROR(VLOOKUP($K84,Parameters!$A$5:$D$101,4,FALSE),"")</f>
        <v/>
      </c>
      <c r="S84" s="19"/>
      <c r="T84" s="19"/>
      <c r="U84" s="19"/>
      <c r="V84" s="19"/>
      <c r="W84" s="19"/>
      <c r="X84" s="19"/>
    </row>
    <row r="85" spans="1:24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 t="str">
        <f>IFERROR(VLOOKUP($K85,Parameters!$A$5:$D$101,3,FALSE),"")</f>
        <v/>
      </c>
      <c r="R85" s="19" t="str">
        <f>IFERROR(VLOOKUP($K85,Parameters!$A$5:$D$101,4,FALSE),"")</f>
        <v/>
      </c>
      <c r="S85" s="19"/>
      <c r="T85" s="19"/>
      <c r="U85" s="19"/>
      <c r="V85" s="19"/>
      <c r="W85" s="19"/>
      <c r="X85" s="19"/>
    </row>
    <row r="86" spans="1:24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 t="str">
        <f>IFERROR(VLOOKUP($K86,Parameters!$A$5:$D$101,3,FALSE),"")</f>
        <v/>
      </c>
      <c r="R86" s="19" t="str">
        <f>IFERROR(VLOOKUP($K86,Parameters!$A$5:$D$101,4,FALSE),"")</f>
        <v/>
      </c>
      <c r="S86" s="19"/>
      <c r="T86" s="19"/>
      <c r="U86" s="19"/>
      <c r="V86" s="19"/>
      <c r="W86" s="19"/>
      <c r="X86" s="19"/>
    </row>
    <row r="87" spans="1:24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 t="str">
        <f>IFERROR(VLOOKUP($K87,Parameters!$A$5:$D$101,3,FALSE),"")</f>
        <v/>
      </c>
      <c r="R87" s="19" t="str">
        <f>IFERROR(VLOOKUP($K87,Parameters!$A$5:$D$101,4,FALSE),"")</f>
        <v/>
      </c>
      <c r="S87" s="19"/>
      <c r="T87" s="19"/>
      <c r="U87" s="19"/>
      <c r="V87" s="19"/>
      <c r="W87" s="19"/>
      <c r="X87" s="19"/>
    </row>
    <row r="88" spans="1:24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 t="str">
        <f>IFERROR(VLOOKUP($K88,Parameters!$A$5:$D$101,3,FALSE),"")</f>
        <v/>
      </c>
      <c r="R88" s="19" t="str">
        <f>IFERROR(VLOOKUP($K88,Parameters!$A$5:$D$101,4,FALSE),"")</f>
        <v/>
      </c>
      <c r="S88" s="19"/>
      <c r="T88" s="19"/>
      <c r="U88" s="19"/>
      <c r="V88" s="19"/>
      <c r="W88" s="19"/>
      <c r="X88" s="19"/>
    </row>
    <row r="89" spans="1:24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 t="str">
        <f>IFERROR(VLOOKUP($K89,Parameters!$A$5:$D$101,3,FALSE),"")</f>
        <v/>
      </c>
      <c r="R89" s="19" t="str">
        <f>IFERROR(VLOOKUP($K89,Parameters!$A$5:$D$101,4,FALSE),"")</f>
        <v/>
      </c>
      <c r="S89" s="19"/>
      <c r="T89" s="19"/>
      <c r="U89" s="19"/>
      <c r="V89" s="19"/>
      <c r="W89" s="19"/>
      <c r="X89" s="19"/>
    </row>
    <row r="90" spans="1:24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 t="str">
        <f>IFERROR(VLOOKUP($K90,Parameters!$A$5:$D$101,3,FALSE),"")</f>
        <v/>
      </c>
      <c r="R90" s="19" t="str">
        <f>IFERROR(VLOOKUP($K90,Parameters!$A$5:$D$101,4,FALSE),"")</f>
        <v/>
      </c>
      <c r="S90" s="19"/>
      <c r="T90" s="19"/>
      <c r="U90" s="19"/>
      <c r="V90" s="19"/>
      <c r="W90" s="19"/>
      <c r="X90" s="19"/>
    </row>
    <row r="91" spans="1:24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 t="str">
        <f>IFERROR(VLOOKUP($K91,Parameters!$A$5:$D$101,3,FALSE),"")</f>
        <v/>
      </c>
      <c r="R91" s="19" t="str">
        <f>IFERROR(VLOOKUP($K91,Parameters!$A$5:$D$101,4,FALSE),"")</f>
        <v/>
      </c>
      <c r="S91" s="19"/>
      <c r="T91" s="19"/>
      <c r="U91" s="19"/>
      <c r="V91" s="19"/>
      <c r="W91" s="19"/>
      <c r="X91" s="19"/>
    </row>
    <row r="92" spans="1:24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 t="str">
        <f>IFERROR(VLOOKUP($K92,Parameters!$A$5:$D$101,3,FALSE),"")</f>
        <v/>
      </c>
      <c r="R92" s="19" t="str">
        <f>IFERROR(VLOOKUP($K92,Parameters!$A$5:$D$101,4,FALSE),"")</f>
        <v/>
      </c>
      <c r="S92" s="19"/>
      <c r="T92" s="19"/>
      <c r="U92" s="19"/>
      <c r="V92" s="19"/>
      <c r="W92" s="19"/>
      <c r="X92" s="19"/>
    </row>
    <row r="93" spans="1:24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 t="str">
        <f>IFERROR(VLOOKUP($K93,Parameters!$A$5:$D$101,3,FALSE),"")</f>
        <v/>
      </c>
      <c r="R93" s="19" t="str">
        <f>IFERROR(VLOOKUP($K93,Parameters!$A$5:$D$101,4,FALSE),"")</f>
        <v/>
      </c>
      <c r="S93" s="19"/>
      <c r="T93" s="19"/>
      <c r="U93" s="19"/>
      <c r="V93" s="19"/>
      <c r="W93" s="19"/>
      <c r="X93" s="19"/>
    </row>
    <row r="94" spans="1:2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 t="str">
        <f>IFERROR(VLOOKUP($K94,Parameters!$A$5:$D$101,3,FALSE),"")</f>
        <v/>
      </c>
      <c r="R94" s="19" t="str">
        <f>IFERROR(VLOOKUP($K94,Parameters!$A$5:$D$101,4,FALSE),"")</f>
        <v/>
      </c>
      <c r="S94" s="19"/>
      <c r="T94" s="19"/>
      <c r="U94" s="19"/>
      <c r="V94" s="19"/>
      <c r="W94" s="19"/>
      <c r="X94" s="19"/>
    </row>
    <row r="95" spans="1:24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 t="str">
        <f>IFERROR(VLOOKUP($K95,Parameters!$A$5:$D$101,3,FALSE),"")</f>
        <v/>
      </c>
      <c r="R95" s="19" t="str">
        <f>IFERROR(VLOOKUP($K95,Parameters!$A$5:$D$101,4,FALSE),"")</f>
        <v/>
      </c>
      <c r="S95" s="19"/>
      <c r="T95" s="19"/>
      <c r="U95" s="19"/>
      <c r="V95" s="19"/>
      <c r="W95" s="19"/>
      <c r="X95" s="19"/>
    </row>
    <row r="96" spans="1:24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 t="str">
        <f>IFERROR(VLOOKUP($K96,Parameters!$A$5:$D$101,3,FALSE),"")</f>
        <v/>
      </c>
      <c r="R96" s="19" t="str">
        <f>IFERROR(VLOOKUP($K96,Parameters!$A$5:$D$101,4,FALSE),"")</f>
        <v/>
      </c>
      <c r="S96" s="19"/>
      <c r="T96" s="19"/>
      <c r="U96" s="19"/>
      <c r="V96" s="19"/>
      <c r="W96" s="19"/>
      <c r="X96" s="19"/>
    </row>
    <row r="97" spans="1:24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 t="str">
        <f>IFERROR(VLOOKUP($K97,Parameters!$A$5:$D$101,3,FALSE),"")</f>
        <v/>
      </c>
      <c r="R97" s="19" t="str">
        <f>IFERROR(VLOOKUP($K97,Parameters!$A$5:$D$101,4,FALSE),"")</f>
        <v/>
      </c>
      <c r="S97" s="19"/>
      <c r="T97" s="19"/>
      <c r="U97" s="19"/>
      <c r="V97" s="19"/>
      <c r="W97" s="19"/>
      <c r="X97" s="19"/>
    </row>
    <row r="98" spans="1:24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 t="str">
        <f>IFERROR(VLOOKUP($K98,Parameters!$A$5:$D$101,3,FALSE),"")</f>
        <v/>
      </c>
      <c r="R98" s="19" t="str">
        <f>IFERROR(VLOOKUP($K98,Parameters!$A$5:$D$101,4,FALSE),"")</f>
        <v/>
      </c>
      <c r="S98" s="19"/>
      <c r="T98" s="19"/>
      <c r="U98" s="19"/>
      <c r="V98" s="19"/>
      <c r="W98" s="19"/>
      <c r="X98" s="19"/>
    </row>
    <row r="99" spans="1:24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 t="str">
        <f>IFERROR(VLOOKUP($K99,Parameters!$A$5:$D$101,3,FALSE),"")</f>
        <v/>
      </c>
      <c r="R99" s="19" t="str">
        <f>IFERROR(VLOOKUP($K99,Parameters!$A$5:$D$101,4,FALSE),"")</f>
        <v/>
      </c>
      <c r="S99" s="19"/>
      <c r="T99" s="19"/>
      <c r="U99" s="19"/>
      <c r="V99" s="19"/>
      <c r="W99" s="19"/>
      <c r="X99" s="19"/>
    </row>
    <row r="100" spans="1:24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 t="str">
        <f>IFERROR(VLOOKUP($K100,Parameters!$A$5:$D$101,3,FALSE),"")</f>
        <v/>
      </c>
      <c r="R100" s="19" t="str">
        <f>IFERROR(VLOOKUP($K100,Parameters!$A$5:$D$101,4,FALSE),"")</f>
        <v/>
      </c>
      <c r="S100" s="19"/>
      <c r="T100" s="19"/>
      <c r="U100" s="19"/>
      <c r="V100" s="19"/>
      <c r="W100" s="19"/>
      <c r="X100" s="19"/>
    </row>
    <row r="101" spans="1:24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 t="str">
        <f>IFERROR(VLOOKUP($K101,Parameters!$A$5:$D$101,3,FALSE),"")</f>
        <v/>
      </c>
      <c r="R101" s="19" t="str">
        <f>IFERROR(VLOOKUP($K101,Parameters!$A$5:$D$101,4,FALSE),"")</f>
        <v/>
      </c>
      <c r="S101" s="19"/>
      <c r="T101" s="19"/>
      <c r="U101" s="19"/>
      <c r="V101" s="19"/>
      <c r="W101" s="19"/>
      <c r="X101" s="19"/>
    </row>
    <row r="102" spans="1:24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 t="str">
        <f>IFERROR(VLOOKUP($K102,Parameters!$A$5:$D$101,3,FALSE),"")</f>
        <v/>
      </c>
      <c r="R102" s="19" t="str">
        <f>IFERROR(VLOOKUP($K102,Parameters!$A$5:$D$101,4,FALSE),"")</f>
        <v/>
      </c>
      <c r="S102" s="19"/>
      <c r="T102" s="19"/>
      <c r="U102" s="19"/>
      <c r="V102" s="19"/>
      <c r="W102" s="19"/>
      <c r="X102" s="19"/>
    </row>
    <row r="103" spans="1:24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 t="str">
        <f>IFERROR(VLOOKUP($K103,Parameters!$A$5:$D$101,3,FALSE),"")</f>
        <v/>
      </c>
      <c r="R103" s="19" t="str">
        <f>IFERROR(VLOOKUP($K103,Parameters!$A$5:$D$101,4,FALSE),"")</f>
        <v/>
      </c>
      <c r="S103" s="19"/>
      <c r="T103" s="19"/>
      <c r="U103" s="19"/>
      <c r="V103" s="19"/>
      <c r="W103" s="19"/>
      <c r="X103" s="19"/>
    </row>
    <row r="104" spans="1:2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 t="str">
        <f>IFERROR(VLOOKUP($K104,Parameters!$A$5:$D$101,3,FALSE),"")</f>
        <v/>
      </c>
      <c r="R104" s="19" t="str">
        <f>IFERROR(VLOOKUP($K104,Parameters!$A$5:$D$101,4,FALSE),"")</f>
        <v/>
      </c>
      <c r="S104" s="19"/>
      <c r="T104" s="19"/>
      <c r="U104" s="19"/>
      <c r="V104" s="19"/>
      <c r="W104" s="19"/>
      <c r="X104" s="19"/>
    </row>
    <row r="105" spans="1:24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 t="str">
        <f>IFERROR(VLOOKUP($K105,Parameters!$A$5:$D$101,3,FALSE),"")</f>
        <v/>
      </c>
      <c r="R105" s="19" t="str">
        <f>IFERROR(VLOOKUP($K105,Parameters!$A$5:$D$101,4,FALSE),"")</f>
        <v/>
      </c>
      <c r="S105" s="19"/>
      <c r="T105" s="19"/>
      <c r="U105" s="19"/>
      <c r="V105" s="19"/>
      <c r="W105" s="19"/>
      <c r="X105" s="19"/>
    </row>
    <row r="106" spans="1:24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 t="str">
        <f>IFERROR(VLOOKUP($K106,Parameters!$A$5:$D$101,3,FALSE),"")</f>
        <v/>
      </c>
      <c r="R106" s="19" t="str">
        <f>IFERROR(VLOOKUP($K106,Parameters!$A$5:$D$101,4,FALSE),"")</f>
        <v/>
      </c>
      <c r="S106" s="19"/>
      <c r="T106" s="19"/>
      <c r="U106" s="19"/>
      <c r="V106" s="19"/>
      <c r="W106" s="19"/>
      <c r="X106" s="19"/>
    </row>
    <row r="107" spans="1:24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 t="str">
        <f>IFERROR(VLOOKUP($K107,Parameters!$A$5:$D$101,3,FALSE),"")</f>
        <v/>
      </c>
      <c r="R107" s="19" t="str">
        <f>IFERROR(VLOOKUP($K107,Parameters!$A$5:$D$101,4,FALSE),"")</f>
        <v/>
      </c>
      <c r="S107" s="19"/>
      <c r="T107" s="19"/>
      <c r="U107" s="19"/>
      <c r="V107" s="19"/>
      <c r="W107" s="19"/>
      <c r="X107" s="19"/>
    </row>
    <row r="108" spans="1:24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 t="str">
        <f>IFERROR(VLOOKUP($K108,Parameters!$A$5:$D$101,3,FALSE),"")</f>
        <v/>
      </c>
      <c r="R108" s="19" t="str">
        <f>IFERROR(VLOOKUP($K108,Parameters!$A$5:$D$101,4,FALSE),"")</f>
        <v/>
      </c>
      <c r="S108" s="19"/>
      <c r="T108" s="19"/>
      <c r="U108" s="19"/>
      <c r="V108" s="19"/>
      <c r="W108" s="19"/>
      <c r="X108" s="19"/>
    </row>
    <row r="109" spans="1:24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 t="str">
        <f>IFERROR(VLOOKUP($K109,Parameters!$A$5:$D$101,3,FALSE),"")</f>
        <v/>
      </c>
      <c r="R109" s="19" t="str">
        <f>IFERROR(VLOOKUP($K109,Parameters!$A$5:$D$101,4,FALSE),"")</f>
        <v/>
      </c>
      <c r="S109" s="19"/>
      <c r="T109" s="19"/>
      <c r="U109" s="19"/>
      <c r="V109" s="19"/>
      <c r="W109" s="19"/>
      <c r="X109" s="19"/>
    </row>
    <row r="110" spans="1:24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 t="str">
        <f>IFERROR(VLOOKUP($K110,Parameters!$A$5:$D$101,3,FALSE),"")</f>
        <v/>
      </c>
      <c r="R110" s="19" t="str">
        <f>IFERROR(VLOOKUP($K110,Parameters!$A$5:$D$101,4,FALSE),"")</f>
        <v/>
      </c>
      <c r="S110" s="19"/>
      <c r="T110" s="19"/>
      <c r="U110" s="19"/>
      <c r="V110" s="19"/>
      <c r="W110" s="19"/>
      <c r="X110" s="19"/>
    </row>
    <row r="111" spans="1:24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 t="str">
        <f>IFERROR(VLOOKUP($K111,Parameters!$A$5:$D$101,3,FALSE),"")</f>
        <v/>
      </c>
      <c r="R111" s="19" t="str">
        <f>IFERROR(VLOOKUP($K111,Parameters!$A$5:$D$101,4,FALSE),"")</f>
        <v/>
      </c>
      <c r="S111" s="19"/>
      <c r="T111" s="19"/>
      <c r="U111" s="19"/>
      <c r="V111" s="19"/>
      <c r="W111" s="19"/>
      <c r="X111" s="19"/>
    </row>
    <row r="112" spans="1:24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 t="str">
        <f>IFERROR(VLOOKUP($K112,Parameters!$A$5:$D$101,3,FALSE),"")</f>
        <v/>
      </c>
      <c r="R112" s="19" t="str">
        <f>IFERROR(VLOOKUP($K112,Parameters!$A$5:$D$101,4,FALSE),"")</f>
        <v/>
      </c>
      <c r="S112" s="19"/>
      <c r="T112" s="19"/>
      <c r="U112" s="19"/>
      <c r="V112" s="19"/>
      <c r="W112" s="19"/>
      <c r="X112" s="19"/>
    </row>
    <row r="113" spans="1:24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 t="str">
        <f>IFERROR(VLOOKUP($K113,Parameters!$A$5:$D$101,3,FALSE),"")</f>
        <v/>
      </c>
      <c r="R113" s="19" t="str">
        <f>IFERROR(VLOOKUP($K113,Parameters!$A$5:$D$101,4,FALSE),"")</f>
        <v/>
      </c>
      <c r="S113" s="19"/>
      <c r="T113" s="19"/>
      <c r="U113" s="19"/>
      <c r="V113" s="19"/>
      <c r="W113" s="19"/>
      <c r="X113" s="19"/>
    </row>
    <row r="114" spans="1:2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 t="str">
        <f>IFERROR(VLOOKUP($K114,Parameters!$A$5:$D$101,3,FALSE),"")</f>
        <v/>
      </c>
      <c r="R114" s="19" t="str">
        <f>IFERROR(VLOOKUP($K114,Parameters!$A$5:$D$101,4,FALSE),"")</f>
        <v/>
      </c>
      <c r="S114" s="19"/>
      <c r="T114" s="19"/>
      <c r="U114" s="19"/>
      <c r="V114" s="19"/>
      <c r="W114" s="19"/>
      <c r="X114" s="19"/>
    </row>
    <row r="115" spans="1:24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 t="str">
        <f>IFERROR(VLOOKUP($K115,Parameters!$A$5:$D$101,3,FALSE),"")</f>
        <v/>
      </c>
      <c r="R115" s="19" t="str">
        <f>IFERROR(VLOOKUP($K115,Parameters!$A$5:$D$101,4,FALSE),"")</f>
        <v/>
      </c>
      <c r="S115" s="19"/>
      <c r="T115" s="19"/>
      <c r="U115" s="19"/>
      <c r="V115" s="19"/>
      <c r="W115" s="19"/>
      <c r="X115" s="19"/>
    </row>
    <row r="116" spans="1:24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 t="str">
        <f>IFERROR(VLOOKUP($K116,Parameters!$A$5:$D$101,3,FALSE),"")</f>
        <v/>
      </c>
      <c r="R116" s="19" t="str">
        <f>IFERROR(VLOOKUP($K116,Parameters!$A$5:$D$101,4,FALSE),"")</f>
        <v/>
      </c>
      <c r="S116" s="19"/>
      <c r="T116" s="19"/>
      <c r="U116" s="19"/>
      <c r="V116" s="19"/>
      <c r="W116" s="19"/>
      <c r="X116" s="19"/>
    </row>
    <row r="117" spans="1:24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 t="str">
        <f>IFERROR(VLOOKUP($K117,Parameters!$A$5:$D$101,3,FALSE),"")</f>
        <v/>
      </c>
      <c r="R117" s="19" t="str">
        <f>IFERROR(VLOOKUP($K117,Parameters!$A$5:$D$101,4,FALSE),"")</f>
        <v/>
      </c>
      <c r="S117" s="19"/>
      <c r="T117" s="19"/>
      <c r="U117" s="19"/>
      <c r="V117" s="19"/>
      <c r="W117" s="19"/>
      <c r="X117" s="19"/>
    </row>
    <row r="118" spans="1:24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 t="str">
        <f>IFERROR(VLOOKUP($K118,Parameters!$A$5:$D$101,3,FALSE),"")</f>
        <v/>
      </c>
      <c r="R118" s="19" t="str">
        <f>IFERROR(VLOOKUP($K118,Parameters!$A$5:$D$101,4,FALSE),"")</f>
        <v/>
      </c>
      <c r="S118" s="19"/>
      <c r="T118" s="19"/>
      <c r="U118" s="19"/>
      <c r="V118" s="19"/>
      <c r="W118" s="19"/>
      <c r="X118" s="19"/>
    </row>
    <row r="119" spans="1:24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 t="str">
        <f>IFERROR(VLOOKUP($K119,Parameters!$A$5:$D$101,3,FALSE),"")</f>
        <v/>
      </c>
      <c r="R119" s="19" t="str">
        <f>IFERROR(VLOOKUP($K119,Parameters!$A$5:$D$101,4,FALSE),"")</f>
        <v/>
      </c>
      <c r="S119" s="19"/>
      <c r="T119" s="19"/>
      <c r="U119" s="19"/>
      <c r="V119" s="19"/>
      <c r="W119" s="19"/>
      <c r="X119" s="19"/>
    </row>
    <row r="120" spans="1:24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 t="str">
        <f>IFERROR(VLOOKUP($K120,Parameters!$A$5:$D$101,3,FALSE),"")</f>
        <v/>
      </c>
      <c r="R120" s="19" t="str">
        <f>IFERROR(VLOOKUP($K120,Parameters!$A$5:$D$101,4,FALSE),"")</f>
        <v/>
      </c>
      <c r="S120" s="19"/>
      <c r="T120" s="19"/>
      <c r="U120" s="19"/>
      <c r="V120" s="19"/>
      <c r="W120" s="19"/>
      <c r="X120" s="19"/>
    </row>
    <row r="121" spans="1:24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 t="str">
        <f>IFERROR(VLOOKUP($K121,Parameters!$A$5:$D$101,3,FALSE),"")</f>
        <v/>
      </c>
      <c r="R121" s="19" t="str">
        <f>IFERROR(VLOOKUP($K121,Parameters!$A$5:$D$101,4,FALSE),"")</f>
        <v/>
      </c>
      <c r="S121" s="19"/>
      <c r="T121" s="19"/>
      <c r="U121" s="19"/>
      <c r="V121" s="19"/>
      <c r="W121" s="19"/>
      <c r="X121" s="19"/>
    </row>
    <row r="122" spans="1:24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 t="str">
        <f>IFERROR(VLOOKUP($K122,Parameters!$A$5:$D$101,3,FALSE),"")</f>
        <v/>
      </c>
      <c r="R122" s="19" t="str">
        <f>IFERROR(VLOOKUP($K122,Parameters!$A$5:$D$101,4,FALSE),"")</f>
        <v/>
      </c>
      <c r="S122" s="19"/>
      <c r="T122" s="19"/>
      <c r="U122" s="19"/>
      <c r="V122" s="19"/>
      <c r="W122" s="19"/>
      <c r="X122" s="19"/>
    </row>
    <row r="123" spans="1:24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 t="str">
        <f>IFERROR(VLOOKUP($K123,Parameters!$A$5:$D$101,3,FALSE),"")</f>
        <v/>
      </c>
      <c r="R123" s="19" t="str">
        <f>IFERROR(VLOOKUP($K123,Parameters!$A$5:$D$101,4,FALSE),"")</f>
        <v/>
      </c>
      <c r="S123" s="19"/>
      <c r="T123" s="19"/>
      <c r="U123" s="19"/>
      <c r="V123" s="19"/>
      <c r="W123" s="19"/>
      <c r="X123" s="19"/>
    </row>
    <row r="124" spans="1: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 t="str">
        <f>IFERROR(VLOOKUP($K124,Parameters!$A$5:$D$101,3,FALSE),"")</f>
        <v/>
      </c>
      <c r="R124" s="19" t="str">
        <f>IFERROR(VLOOKUP($K124,Parameters!$A$5:$D$101,4,FALSE),"")</f>
        <v/>
      </c>
      <c r="S124" s="19"/>
      <c r="T124" s="19"/>
      <c r="U124" s="19"/>
      <c r="V124" s="19"/>
      <c r="W124" s="19"/>
      <c r="X124" s="19"/>
    </row>
    <row r="125" spans="1:24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 t="str">
        <f>IFERROR(VLOOKUP($K125,Parameters!$A$5:$D$101,3,FALSE),"")</f>
        <v/>
      </c>
      <c r="R125" s="19" t="str">
        <f>IFERROR(VLOOKUP($K125,Parameters!$A$5:$D$101,4,FALSE),"")</f>
        <v/>
      </c>
      <c r="S125" s="19"/>
      <c r="T125" s="19"/>
      <c r="U125" s="19"/>
      <c r="V125" s="19"/>
      <c r="W125" s="19"/>
      <c r="X125" s="19"/>
    </row>
    <row r="126" spans="1:24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 t="str">
        <f>IFERROR(VLOOKUP($K126,Parameters!$A$5:$D$101,3,FALSE),"")</f>
        <v/>
      </c>
      <c r="R126" s="19" t="str">
        <f>IFERROR(VLOOKUP($K126,Parameters!$A$5:$D$101,4,FALSE),"")</f>
        <v/>
      </c>
      <c r="S126" s="19"/>
      <c r="T126" s="19"/>
      <c r="U126" s="19"/>
      <c r="V126" s="19"/>
      <c r="W126" s="19"/>
      <c r="X126" s="19"/>
    </row>
    <row r="127" spans="1:24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 t="str">
        <f>IFERROR(VLOOKUP($K127,Parameters!$A$5:$D$101,3,FALSE),"")</f>
        <v/>
      </c>
      <c r="R127" s="19" t="str">
        <f>IFERROR(VLOOKUP($K127,Parameters!$A$5:$D$101,4,FALSE),"")</f>
        <v/>
      </c>
      <c r="S127" s="19"/>
      <c r="T127" s="19"/>
      <c r="U127" s="19"/>
      <c r="V127" s="19"/>
      <c r="W127" s="19"/>
      <c r="X127" s="19"/>
    </row>
    <row r="128" spans="1:24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 t="str">
        <f>IFERROR(VLOOKUP($K128,Parameters!$A$5:$D$101,3,FALSE),"")</f>
        <v/>
      </c>
      <c r="R128" s="19" t="str">
        <f>IFERROR(VLOOKUP($K128,Parameters!$A$5:$D$101,4,FALSE),"")</f>
        <v/>
      </c>
      <c r="S128" s="19"/>
      <c r="T128" s="19"/>
      <c r="U128" s="19"/>
      <c r="V128" s="19"/>
      <c r="W128" s="19"/>
      <c r="X128" s="19"/>
    </row>
    <row r="129" spans="1:24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 t="str">
        <f>IFERROR(VLOOKUP($K129,Parameters!$A$5:$D$101,3,FALSE),"")</f>
        <v/>
      </c>
      <c r="R129" s="19" t="str">
        <f>IFERROR(VLOOKUP($K129,Parameters!$A$5:$D$101,4,FALSE),"")</f>
        <v/>
      </c>
      <c r="S129" s="19"/>
      <c r="T129" s="19"/>
      <c r="U129" s="19"/>
      <c r="V129" s="19"/>
      <c r="W129" s="19"/>
      <c r="X129" s="19"/>
    </row>
    <row r="130" spans="1:24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 t="str">
        <f>IFERROR(VLOOKUP($K130,Parameters!$A$5:$D$101,3,FALSE),"")</f>
        <v/>
      </c>
      <c r="R130" s="19" t="str">
        <f>IFERROR(VLOOKUP($K130,Parameters!$A$5:$D$101,4,FALSE),"")</f>
        <v/>
      </c>
      <c r="S130" s="19"/>
      <c r="T130" s="19"/>
      <c r="U130" s="19"/>
      <c r="V130" s="19"/>
      <c r="W130" s="19"/>
      <c r="X130" s="19"/>
    </row>
    <row r="131" spans="1:24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 t="str">
        <f>IFERROR(VLOOKUP($K131,Parameters!$A$5:$D$101,3,FALSE),"")</f>
        <v/>
      </c>
      <c r="R131" s="19" t="str">
        <f>IFERROR(VLOOKUP($K131,Parameters!$A$5:$D$101,4,FALSE),"")</f>
        <v/>
      </c>
      <c r="S131" s="19"/>
      <c r="T131" s="19"/>
      <c r="U131" s="19"/>
      <c r="V131" s="19"/>
      <c r="W131" s="19"/>
      <c r="X131" s="19"/>
    </row>
    <row r="132" spans="1:24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 t="str">
        <f>IFERROR(VLOOKUP($K132,Parameters!$A$5:$D$101,3,FALSE),"")</f>
        <v/>
      </c>
      <c r="R132" s="19" t="str">
        <f>IFERROR(VLOOKUP($K132,Parameters!$A$5:$D$101,4,FALSE),"")</f>
        <v/>
      </c>
      <c r="S132" s="19"/>
      <c r="T132" s="19"/>
      <c r="U132" s="19"/>
      <c r="V132" s="19"/>
      <c r="W132" s="19"/>
      <c r="X132" s="19"/>
    </row>
    <row r="133" spans="1:24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 t="str">
        <f>IFERROR(VLOOKUP($K133,Parameters!$A$5:$D$101,3,FALSE),"")</f>
        <v/>
      </c>
      <c r="R133" s="19" t="str">
        <f>IFERROR(VLOOKUP($K133,Parameters!$A$5:$D$101,4,FALSE),"")</f>
        <v/>
      </c>
      <c r="S133" s="19"/>
      <c r="T133" s="19"/>
      <c r="U133" s="19"/>
      <c r="V133" s="19"/>
      <c r="W133" s="19"/>
      <c r="X133" s="19"/>
    </row>
    <row r="134" spans="1:2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 t="str">
        <f>IFERROR(VLOOKUP($K134,Parameters!$A$5:$D$101,3,FALSE),"")</f>
        <v/>
      </c>
      <c r="R134" s="19" t="str">
        <f>IFERROR(VLOOKUP($K134,Parameters!$A$5:$D$101,4,FALSE),"")</f>
        <v/>
      </c>
      <c r="S134" s="19"/>
      <c r="T134" s="19"/>
      <c r="U134" s="19"/>
      <c r="V134" s="19"/>
      <c r="W134" s="19"/>
      <c r="X134" s="19"/>
    </row>
    <row r="135" spans="1:24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 t="str">
        <f>IFERROR(VLOOKUP($K135,Parameters!$A$5:$D$101,3,FALSE),"")</f>
        <v/>
      </c>
      <c r="R135" s="19" t="str">
        <f>IFERROR(VLOOKUP($K135,Parameters!$A$5:$D$101,4,FALSE),"")</f>
        <v/>
      </c>
      <c r="S135" s="19"/>
      <c r="T135" s="19"/>
      <c r="U135" s="19"/>
      <c r="V135" s="19"/>
      <c r="W135" s="19"/>
      <c r="X135" s="19"/>
    </row>
    <row r="136" spans="1:24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 t="str">
        <f>IFERROR(VLOOKUP($K136,Parameters!$A$5:$D$101,3,FALSE),"")</f>
        <v/>
      </c>
      <c r="R136" s="19" t="str">
        <f>IFERROR(VLOOKUP($K136,Parameters!$A$5:$D$101,4,FALSE),"")</f>
        <v/>
      </c>
      <c r="S136" s="19"/>
      <c r="T136" s="19"/>
      <c r="U136" s="19"/>
      <c r="V136" s="19"/>
      <c r="W136" s="19"/>
      <c r="X136" s="19"/>
    </row>
    <row r="137" spans="1:24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 t="str">
        <f>IFERROR(VLOOKUP($K137,Parameters!$A$5:$D$101,3,FALSE),"")</f>
        <v/>
      </c>
      <c r="R137" s="19" t="str">
        <f>IFERROR(VLOOKUP($K137,Parameters!$A$5:$D$101,4,FALSE),"")</f>
        <v/>
      </c>
      <c r="S137" s="19"/>
      <c r="T137" s="19"/>
      <c r="U137" s="19"/>
      <c r="V137" s="19"/>
      <c r="W137" s="19"/>
      <c r="X137" s="19"/>
    </row>
    <row r="138" spans="1:24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 t="str">
        <f>IFERROR(VLOOKUP($K138,Parameters!$A$5:$D$101,3,FALSE),"")</f>
        <v/>
      </c>
      <c r="R138" s="19" t="str">
        <f>IFERROR(VLOOKUP($K138,Parameters!$A$5:$D$101,4,FALSE),"")</f>
        <v/>
      </c>
      <c r="S138" s="19"/>
      <c r="T138" s="19"/>
      <c r="U138" s="19"/>
      <c r="V138" s="19"/>
      <c r="W138" s="19"/>
      <c r="X138" s="19"/>
    </row>
    <row r="139" spans="1:24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 t="str">
        <f>IFERROR(VLOOKUP($K139,Parameters!$A$5:$D$101,3,FALSE),"")</f>
        <v/>
      </c>
      <c r="R139" s="19" t="str">
        <f>IFERROR(VLOOKUP($K139,Parameters!$A$5:$D$101,4,FALSE),"")</f>
        <v/>
      </c>
      <c r="S139" s="19"/>
      <c r="T139" s="19"/>
      <c r="U139" s="19"/>
      <c r="V139" s="19"/>
      <c r="W139" s="19"/>
      <c r="X139" s="19"/>
    </row>
    <row r="140" spans="1:24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 t="str">
        <f>IFERROR(VLOOKUP($K140,Parameters!$A$5:$D$101,3,FALSE),"")</f>
        <v/>
      </c>
      <c r="R140" s="19" t="str">
        <f>IFERROR(VLOOKUP($K140,Parameters!$A$5:$D$101,4,FALSE),"")</f>
        <v/>
      </c>
      <c r="S140" s="19"/>
      <c r="T140" s="19"/>
      <c r="U140" s="19"/>
      <c r="V140" s="19"/>
      <c r="W140" s="19"/>
      <c r="X140" s="19"/>
    </row>
    <row r="141" spans="1:24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 t="str">
        <f>IFERROR(VLOOKUP($K141,Parameters!$A$5:$D$101,3,FALSE),"")</f>
        <v/>
      </c>
      <c r="R141" s="19" t="str">
        <f>IFERROR(VLOOKUP($K141,Parameters!$A$5:$D$101,4,FALSE),"")</f>
        <v/>
      </c>
      <c r="S141" s="19"/>
      <c r="T141" s="19"/>
      <c r="U141" s="19"/>
      <c r="V141" s="19"/>
      <c r="W141" s="19"/>
      <c r="X141" s="19"/>
    </row>
    <row r="142" spans="1:24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 t="str">
        <f>IFERROR(VLOOKUP($K142,Parameters!$A$5:$D$101,3,FALSE),"")</f>
        <v/>
      </c>
      <c r="R142" s="19" t="str">
        <f>IFERROR(VLOOKUP($K142,Parameters!$A$5:$D$101,4,FALSE),"")</f>
        <v/>
      </c>
      <c r="S142" s="19"/>
      <c r="T142" s="19"/>
      <c r="U142" s="19"/>
      <c r="V142" s="19"/>
      <c r="W142" s="19"/>
      <c r="X142" s="19"/>
    </row>
    <row r="143" spans="1:24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 t="str">
        <f>IFERROR(VLOOKUP($K143,Parameters!$A$5:$D$101,3,FALSE),"")</f>
        <v/>
      </c>
      <c r="R143" s="19" t="str">
        <f>IFERROR(VLOOKUP($K143,Parameters!$A$5:$D$101,4,FALSE),"")</f>
        <v/>
      </c>
      <c r="S143" s="19"/>
      <c r="T143" s="19"/>
      <c r="U143" s="19"/>
      <c r="V143" s="19"/>
      <c r="W143" s="19"/>
      <c r="X143" s="19"/>
    </row>
    <row r="144" spans="1:2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 t="str">
        <f>IFERROR(VLOOKUP($K144,Parameters!$A$5:$D$101,3,FALSE),"")</f>
        <v/>
      </c>
      <c r="R144" s="19" t="str">
        <f>IFERROR(VLOOKUP($K144,Parameters!$A$5:$D$101,4,FALSE),"")</f>
        <v/>
      </c>
      <c r="S144" s="19"/>
      <c r="T144" s="19"/>
      <c r="U144" s="19"/>
      <c r="V144" s="19"/>
      <c r="W144" s="19"/>
      <c r="X144" s="19"/>
    </row>
    <row r="145" spans="1:24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 t="str">
        <f>IFERROR(VLOOKUP($K145,Parameters!$A$5:$D$101,3,FALSE),"")</f>
        <v/>
      </c>
      <c r="R145" s="19" t="str">
        <f>IFERROR(VLOOKUP($K145,Parameters!$A$5:$D$101,4,FALSE),"")</f>
        <v/>
      </c>
      <c r="S145" s="19"/>
      <c r="T145" s="19"/>
      <c r="U145" s="19"/>
      <c r="V145" s="19"/>
      <c r="W145" s="19"/>
      <c r="X145" s="19"/>
    </row>
    <row r="146" spans="1:24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 t="str">
        <f>IFERROR(VLOOKUP($K146,Parameters!$A$5:$D$101,3,FALSE),"")</f>
        <v/>
      </c>
      <c r="R146" s="19" t="str">
        <f>IFERROR(VLOOKUP($K146,Parameters!$A$5:$D$101,4,FALSE),"")</f>
        <v/>
      </c>
      <c r="S146" s="19"/>
      <c r="T146" s="19"/>
      <c r="U146" s="19"/>
      <c r="V146" s="19"/>
      <c r="W146" s="19"/>
      <c r="X146" s="19"/>
    </row>
    <row r="147" spans="1:24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 t="str">
        <f>IFERROR(VLOOKUP($K147,Parameters!$A$5:$D$101,3,FALSE),"")</f>
        <v/>
      </c>
      <c r="R147" s="19" t="str">
        <f>IFERROR(VLOOKUP($K147,Parameters!$A$5:$D$101,4,FALSE),"")</f>
        <v/>
      </c>
      <c r="S147" s="19"/>
      <c r="T147" s="19"/>
      <c r="U147" s="19"/>
      <c r="V147" s="19"/>
      <c r="W147" s="19"/>
      <c r="X147" s="19"/>
    </row>
    <row r="148" spans="1:24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 t="str">
        <f>IFERROR(VLOOKUP($K148,Parameters!$A$5:$D$101,3,FALSE),"")</f>
        <v/>
      </c>
      <c r="R148" s="19" t="str">
        <f>IFERROR(VLOOKUP($K148,Parameters!$A$5:$D$101,4,FALSE),"")</f>
        <v/>
      </c>
      <c r="S148" s="19"/>
      <c r="T148" s="19"/>
      <c r="U148" s="19"/>
      <c r="V148" s="19"/>
      <c r="W148" s="19"/>
      <c r="X148" s="19"/>
    </row>
    <row r="149" spans="1:24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 t="str">
        <f>IFERROR(VLOOKUP($K149,Parameters!$A$5:$D$101,3,FALSE),"")</f>
        <v/>
      </c>
      <c r="R149" s="19" t="str">
        <f>IFERROR(VLOOKUP($K149,Parameters!$A$5:$D$101,4,FALSE),"")</f>
        <v/>
      </c>
      <c r="S149" s="19"/>
      <c r="T149" s="19"/>
      <c r="U149" s="19"/>
      <c r="V149" s="19"/>
      <c r="W149" s="19"/>
      <c r="X149" s="19"/>
    </row>
    <row r="150" spans="1:24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 t="str">
        <f>IFERROR(VLOOKUP($K150,Parameters!$A$5:$D$101,3,FALSE),"")</f>
        <v/>
      </c>
      <c r="R150" s="19" t="str">
        <f>IFERROR(VLOOKUP($K150,Parameters!$A$5:$D$101,4,FALSE),"")</f>
        <v/>
      </c>
      <c r="S150" s="19"/>
      <c r="T150" s="19"/>
      <c r="U150" s="19"/>
      <c r="V150" s="19"/>
      <c r="W150" s="19"/>
      <c r="X150" s="19"/>
    </row>
    <row r="151" spans="1:24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 t="str">
        <f>IFERROR(VLOOKUP($K151,Parameters!$A$5:$D$101,3,FALSE),"")</f>
        <v/>
      </c>
      <c r="R151" s="19" t="str">
        <f>IFERROR(VLOOKUP($K151,Parameters!$A$5:$D$101,4,FALSE),"")</f>
        <v/>
      </c>
      <c r="S151" s="19"/>
      <c r="T151" s="19"/>
      <c r="U151" s="19"/>
      <c r="V151" s="19"/>
      <c r="W151" s="19"/>
      <c r="X151" s="19"/>
    </row>
    <row r="152" spans="1:24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 t="str">
        <f>IFERROR(VLOOKUP($K152,Parameters!$A$5:$D$101,3,FALSE),"")</f>
        <v/>
      </c>
      <c r="R152" s="19" t="str">
        <f>IFERROR(VLOOKUP($K152,Parameters!$A$5:$D$101,4,FALSE),"")</f>
        <v/>
      </c>
      <c r="S152" s="19"/>
      <c r="T152" s="19"/>
      <c r="U152" s="19"/>
      <c r="V152" s="19"/>
      <c r="W152" s="19"/>
      <c r="X152" s="19"/>
    </row>
    <row r="153" spans="1:24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 t="str">
        <f>IFERROR(VLOOKUP($K153,Parameters!$A$5:$D$101,3,FALSE),"")</f>
        <v/>
      </c>
      <c r="R153" s="19" t="str">
        <f>IFERROR(VLOOKUP($K153,Parameters!$A$5:$D$101,4,FALSE),"")</f>
        <v/>
      </c>
      <c r="S153" s="19"/>
      <c r="T153" s="19"/>
      <c r="U153" s="19"/>
      <c r="V153" s="19"/>
      <c r="W153" s="19"/>
      <c r="X153" s="19"/>
    </row>
    <row r="154" spans="1:2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 t="str">
        <f>IFERROR(VLOOKUP($K154,Parameters!$A$5:$D$101,3,FALSE),"")</f>
        <v/>
      </c>
      <c r="R154" s="19" t="str">
        <f>IFERROR(VLOOKUP($K154,Parameters!$A$5:$D$101,4,FALSE),"")</f>
        <v/>
      </c>
      <c r="S154" s="19"/>
      <c r="T154" s="19"/>
      <c r="U154" s="19"/>
      <c r="V154" s="19"/>
      <c r="W154" s="19"/>
      <c r="X154" s="19"/>
    </row>
    <row r="155" spans="1:24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 t="str">
        <f>IFERROR(VLOOKUP($K155,Parameters!$A$5:$D$101,3,FALSE),"")</f>
        <v/>
      </c>
      <c r="R155" s="19" t="str">
        <f>IFERROR(VLOOKUP($K155,Parameters!$A$5:$D$101,4,FALSE),"")</f>
        <v/>
      </c>
      <c r="S155" s="19"/>
      <c r="T155" s="19"/>
      <c r="U155" s="19"/>
      <c r="V155" s="19"/>
      <c r="W155" s="19"/>
      <c r="X155" s="19"/>
    </row>
    <row r="156" spans="1:24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 t="str">
        <f>IFERROR(VLOOKUP($K156,Parameters!$A$5:$D$101,3,FALSE),"")</f>
        <v/>
      </c>
      <c r="R156" s="19" t="str">
        <f>IFERROR(VLOOKUP($K156,Parameters!$A$5:$D$101,4,FALSE),"")</f>
        <v/>
      </c>
      <c r="S156" s="19"/>
      <c r="T156" s="19"/>
      <c r="U156" s="19"/>
      <c r="V156" s="19"/>
      <c r="W156" s="19"/>
      <c r="X156" s="19"/>
    </row>
    <row r="157" spans="1:24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 t="str">
        <f>IFERROR(VLOOKUP($K157,Parameters!$A$5:$D$101,3,FALSE),"")</f>
        <v/>
      </c>
      <c r="R157" s="19" t="str">
        <f>IFERROR(VLOOKUP($K157,Parameters!$A$5:$D$101,4,FALSE),"")</f>
        <v/>
      </c>
      <c r="S157" s="19"/>
      <c r="T157" s="19"/>
      <c r="U157" s="19"/>
      <c r="V157" s="19"/>
      <c r="W157" s="19"/>
      <c r="X157" s="19"/>
    </row>
    <row r="158" spans="1:24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 t="str">
        <f>IFERROR(VLOOKUP($K158,Parameters!$A$5:$D$101,3,FALSE),"")</f>
        <v/>
      </c>
      <c r="R158" s="19" t="str">
        <f>IFERROR(VLOOKUP($K158,Parameters!$A$5:$D$101,4,FALSE),"")</f>
        <v/>
      </c>
      <c r="S158" s="19"/>
      <c r="T158" s="19"/>
      <c r="U158" s="19"/>
      <c r="V158" s="19"/>
      <c r="W158" s="19"/>
      <c r="X158" s="19"/>
    </row>
    <row r="159" spans="1:24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 t="str">
        <f>IFERROR(VLOOKUP($K159,Parameters!$A$5:$D$101,3,FALSE),"")</f>
        <v/>
      </c>
      <c r="R159" s="19" t="str">
        <f>IFERROR(VLOOKUP($K159,Parameters!$A$5:$D$101,4,FALSE),"")</f>
        <v/>
      </c>
      <c r="S159" s="19"/>
      <c r="T159" s="19"/>
      <c r="U159" s="19"/>
      <c r="V159" s="19"/>
      <c r="W159" s="19"/>
      <c r="X159" s="19"/>
    </row>
    <row r="160" spans="1:24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 t="str">
        <f>IFERROR(VLOOKUP($K160,Parameters!$A$5:$D$101,3,FALSE),"")</f>
        <v/>
      </c>
      <c r="R160" s="19" t="str">
        <f>IFERROR(VLOOKUP($K160,Parameters!$A$5:$D$101,4,FALSE),"")</f>
        <v/>
      </c>
      <c r="S160" s="19"/>
      <c r="T160" s="19"/>
      <c r="U160" s="19"/>
      <c r="V160" s="19"/>
      <c r="W160" s="19"/>
      <c r="X160" s="19"/>
    </row>
    <row r="161" spans="1:24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 t="str">
        <f>IFERROR(VLOOKUP($K161,Parameters!$A$5:$D$101,3,FALSE),"")</f>
        <v/>
      </c>
      <c r="R161" s="19" t="str">
        <f>IFERROR(VLOOKUP($K161,Parameters!$A$5:$D$101,4,FALSE),"")</f>
        <v/>
      </c>
      <c r="S161" s="19"/>
      <c r="T161" s="19"/>
      <c r="U161" s="19"/>
      <c r="V161" s="19"/>
      <c r="W161" s="19"/>
      <c r="X161" s="19"/>
    </row>
    <row r="162" spans="1:24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 t="str">
        <f>IFERROR(VLOOKUP($K162,Parameters!$A$5:$D$101,3,FALSE),"")</f>
        <v/>
      </c>
      <c r="R162" s="19" t="str">
        <f>IFERROR(VLOOKUP($K162,Parameters!$A$5:$D$101,4,FALSE),"")</f>
        <v/>
      </c>
      <c r="S162" s="19"/>
      <c r="T162" s="19"/>
      <c r="U162" s="19"/>
      <c r="V162" s="19"/>
      <c r="W162" s="19"/>
      <c r="X162" s="19"/>
    </row>
    <row r="163" spans="1:24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 t="str">
        <f>IFERROR(VLOOKUP($K163,Parameters!$A$5:$D$101,3,FALSE),"")</f>
        <v/>
      </c>
      <c r="R163" s="19" t="str">
        <f>IFERROR(VLOOKUP($K163,Parameters!$A$5:$D$101,4,FALSE),"")</f>
        <v/>
      </c>
      <c r="S163" s="19"/>
      <c r="T163" s="19"/>
      <c r="U163" s="19"/>
      <c r="V163" s="19"/>
      <c r="W163" s="19"/>
      <c r="X163" s="19"/>
    </row>
    <row r="164" spans="1:2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 t="str">
        <f>IFERROR(VLOOKUP($K164,Parameters!$A$5:$D$101,3,FALSE),"")</f>
        <v/>
      </c>
      <c r="R164" s="19" t="str">
        <f>IFERROR(VLOOKUP($K164,Parameters!$A$5:$D$101,4,FALSE),"")</f>
        <v/>
      </c>
      <c r="S164" s="19"/>
      <c r="T164" s="19"/>
      <c r="U164" s="19"/>
      <c r="V164" s="19"/>
      <c r="W164" s="19"/>
      <c r="X164" s="19"/>
    </row>
    <row r="165" spans="1:24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 t="str">
        <f>IFERROR(VLOOKUP($K165,Parameters!$A$5:$D$101,3,FALSE),"")</f>
        <v/>
      </c>
      <c r="R165" s="19" t="str">
        <f>IFERROR(VLOOKUP($K165,Parameters!$A$5:$D$101,4,FALSE),"")</f>
        <v/>
      </c>
      <c r="S165" s="19"/>
      <c r="T165" s="19"/>
      <c r="U165" s="19"/>
      <c r="V165" s="19"/>
      <c r="W165" s="19"/>
      <c r="X165" s="19"/>
    </row>
    <row r="166" spans="1:24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 t="str">
        <f>IFERROR(VLOOKUP($K166,Parameters!$A$5:$D$101,3,FALSE),"")</f>
        <v/>
      </c>
      <c r="R166" s="19" t="str">
        <f>IFERROR(VLOOKUP($K166,Parameters!$A$5:$D$101,4,FALSE),"")</f>
        <v/>
      </c>
      <c r="S166" s="19"/>
      <c r="T166" s="19"/>
      <c r="U166" s="19"/>
      <c r="V166" s="19"/>
      <c r="W166" s="19"/>
      <c r="X166" s="19"/>
    </row>
    <row r="167" spans="1:24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 t="str">
        <f>IFERROR(VLOOKUP($K167,Parameters!$A$5:$D$101,3,FALSE),"")</f>
        <v/>
      </c>
      <c r="R167" s="19" t="str">
        <f>IFERROR(VLOOKUP($K167,Parameters!$A$5:$D$101,4,FALSE),"")</f>
        <v/>
      </c>
      <c r="S167" s="19"/>
      <c r="T167" s="19"/>
      <c r="U167" s="19"/>
      <c r="V167" s="19"/>
      <c r="W167" s="19"/>
      <c r="X167" s="19"/>
    </row>
    <row r="168" spans="1:24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 t="str">
        <f>IFERROR(VLOOKUP($K168,Parameters!$A$5:$D$101,3,FALSE),"")</f>
        <v/>
      </c>
      <c r="R168" s="19" t="str">
        <f>IFERROR(VLOOKUP($K168,Parameters!$A$5:$D$101,4,FALSE),"")</f>
        <v/>
      </c>
      <c r="S168" s="19"/>
      <c r="T168" s="19"/>
      <c r="U168" s="19"/>
      <c r="V168" s="19"/>
      <c r="W168" s="19"/>
      <c r="X168" s="19"/>
    </row>
    <row r="169" spans="1:24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 t="str">
        <f>IFERROR(VLOOKUP($K169,Parameters!$A$5:$D$101,3,FALSE),"")</f>
        <v/>
      </c>
      <c r="R169" s="19" t="str">
        <f>IFERROR(VLOOKUP($K169,Parameters!$A$5:$D$101,4,FALSE),"")</f>
        <v/>
      </c>
      <c r="S169" s="19"/>
      <c r="T169" s="19"/>
      <c r="U169" s="19"/>
      <c r="V169" s="19"/>
      <c r="W169" s="19"/>
      <c r="X169" s="19"/>
    </row>
    <row r="170" spans="1:24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 t="str">
        <f>IFERROR(VLOOKUP($K170,Parameters!$A$5:$D$101,3,FALSE),"")</f>
        <v/>
      </c>
      <c r="R170" s="19" t="str">
        <f>IFERROR(VLOOKUP($K170,Parameters!$A$5:$D$101,4,FALSE),"")</f>
        <v/>
      </c>
      <c r="S170" s="19"/>
      <c r="T170" s="19"/>
      <c r="U170" s="19"/>
      <c r="V170" s="19"/>
      <c r="W170" s="19"/>
      <c r="X170" s="19"/>
    </row>
    <row r="171" spans="1:24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 t="str">
        <f>IFERROR(VLOOKUP($K171,Parameters!$A$5:$D$101,3,FALSE),"")</f>
        <v/>
      </c>
      <c r="R171" s="19" t="str">
        <f>IFERROR(VLOOKUP($K171,Parameters!$A$5:$D$101,4,FALSE),"")</f>
        <v/>
      </c>
      <c r="S171" s="19"/>
      <c r="T171" s="19"/>
      <c r="U171" s="19"/>
      <c r="V171" s="19"/>
      <c r="W171" s="19"/>
      <c r="X171" s="19"/>
    </row>
    <row r="172" spans="1:24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 t="str">
        <f>IFERROR(VLOOKUP($K172,Parameters!$A$5:$D$101,3,FALSE),"")</f>
        <v/>
      </c>
      <c r="R172" s="19" t="str">
        <f>IFERROR(VLOOKUP($K172,Parameters!$A$5:$D$101,4,FALSE),"")</f>
        <v/>
      </c>
      <c r="S172" s="19"/>
      <c r="T172" s="19"/>
      <c r="U172" s="19"/>
      <c r="V172" s="19"/>
      <c r="W172" s="19"/>
      <c r="X172" s="19"/>
    </row>
    <row r="173" spans="1:24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 t="str">
        <f>IFERROR(VLOOKUP($K173,Parameters!$A$5:$D$101,3,FALSE),"")</f>
        <v/>
      </c>
      <c r="R173" s="19" t="str">
        <f>IFERROR(VLOOKUP($K173,Parameters!$A$5:$D$101,4,FALSE),"")</f>
        <v/>
      </c>
      <c r="S173" s="19"/>
      <c r="T173" s="19"/>
      <c r="U173" s="19"/>
      <c r="V173" s="19"/>
      <c r="W173" s="19"/>
      <c r="X173" s="19"/>
    </row>
    <row r="174" spans="1:2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 t="str">
        <f>IFERROR(VLOOKUP($K174,Parameters!$A$5:$D$101,3,FALSE),"")</f>
        <v/>
      </c>
      <c r="R174" s="19" t="str">
        <f>IFERROR(VLOOKUP($K174,Parameters!$A$5:$D$101,4,FALSE),"")</f>
        <v/>
      </c>
      <c r="S174" s="19"/>
      <c r="T174" s="19"/>
      <c r="U174" s="19"/>
      <c r="V174" s="19"/>
      <c r="W174" s="19"/>
      <c r="X174" s="19"/>
    </row>
    <row r="175" spans="1:24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 t="str">
        <f>IFERROR(VLOOKUP($K175,Parameters!$A$5:$D$101,3,FALSE),"")</f>
        <v/>
      </c>
      <c r="R175" s="19" t="str">
        <f>IFERROR(VLOOKUP($K175,Parameters!$A$5:$D$101,4,FALSE),"")</f>
        <v/>
      </c>
      <c r="S175" s="19"/>
      <c r="T175" s="19"/>
      <c r="U175" s="19"/>
      <c r="V175" s="19"/>
      <c r="W175" s="19"/>
      <c r="X175" s="19"/>
    </row>
    <row r="176" spans="1:24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 t="str">
        <f>IFERROR(VLOOKUP($K176,Parameters!$A$5:$D$101,3,FALSE),"")</f>
        <v/>
      </c>
      <c r="R176" s="19" t="str">
        <f>IFERROR(VLOOKUP($K176,Parameters!$A$5:$D$101,4,FALSE),"")</f>
        <v/>
      </c>
      <c r="S176" s="19"/>
      <c r="T176" s="19"/>
      <c r="U176" s="19"/>
      <c r="V176" s="19"/>
      <c r="W176" s="19"/>
      <c r="X176" s="19"/>
    </row>
    <row r="177" spans="1:24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 t="str">
        <f>IFERROR(VLOOKUP($K177,Parameters!$A$5:$D$101,3,FALSE),"")</f>
        <v/>
      </c>
      <c r="R177" s="19" t="str">
        <f>IFERROR(VLOOKUP($K177,Parameters!$A$5:$D$101,4,FALSE),"")</f>
        <v/>
      </c>
      <c r="S177" s="19"/>
      <c r="T177" s="19"/>
      <c r="U177" s="19"/>
      <c r="V177" s="19"/>
      <c r="W177" s="19"/>
      <c r="X177" s="19"/>
    </row>
    <row r="178" spans="1:24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 t="str">
        <f>IFERROR(VLOOKUP($K178,Parameters!$A$5:$D$101,3,FALSE),"")</f>
        <v/>
      </c>
      <c r="R178" s="19" t="str">
        <f>IFERROR(VLOOKUP($K178,Parameters!$A$5:$D$101,4,FALSE),"")</f>
        <v/>
      </c>
      <c r="S178" s="19"/>
      <c r="T178" s="19"/>
      <c r="U178" s="19"/>
      <c r="V178" s="19"/>
      <c r="W178" s="19"/>
      <c r="X178" s="19"/>
    </row>
    <row r="179" spans="1:24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 t="str">
        <f>IFERROR(VLOOKUP($K179,Parameters!$A$5:$D$101,3,FALSE),"")</f>
        <v/>
      </c>
      <c r="R179" s="19" t="str">
        <f>IFERROR(VLOOKUP($K179,Parameters!$A$5:$D$101,4,FALSE),"")</f>
        <v/>
      </c>
      <c r="S179" s="19"/>
      <c r="T179" s="19"/>
      <c r="U179" s="19"/>
      <c r="V179" s="19"/>
      <c r="W179" s="19"/>
      <c r="X179" s="19"/>
    </row>
    <row r="180" spans="1:24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 t="str">
        <f>IFERROR(VLOOKUP($K180,Parameters!$A$5:$D$101,3,FALSE),"")</f>
        <v/>
      </c>
      <c r="R180" s="19" t="str">
        <f>IFERROR(VLOOKUP($K180,Parameters!$A$5:$D$101,4,FALSE),"")</f>
        <v/>
      </c>
      <c r="S180" s="19"/>
      <c r="T180" s="19"/>
      <c r="U180" s="19"/>
      <c r="V180" s="19"/>
      <c r="W180" s="19"/>
      <c r="X180" s="19"/>
    </row>
    <row r="181" spans="1:24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 t="str">
        <f>IFERROR(VLOOKUP($K181,Parameters!$A$5:$D$101,3,FALSE),"")</f>
        <v/>
      </c>
      <c r="R181" s="19" t="str">
        <f>IFERROR(VLOOKUP($K181,Parameters!$A$5:$D$101,4,FALSE),"")</f>
        <v/>
      </c>
      <c r="S181" s="19"/>
      <c r="T181" s="19"/>
      <c r="U181" s="19"/>
      <c r="V181" s="19"/>
      <c r="W181" s="19"/>
      <c r="X181" s="19"/>
    </row>
    <row r="182" spans="1:24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 t="str">
        <f>IFERROR(VLOOKUP($K182,Parameters!$A$5:$D$101,3,FALSE),"")</f>
        <v/>
      </c>
      <c r="R182" s="19" t="str">
        <f>IFERROR(VLOOKUP($K182,Parameters!$A$5:$D$101,4,FALSE),"")</f>
        <v/>
      </c>
      <c r="S182" s="19"/>
      <c r="T182" s="19"/>
      <c r="U182" s="19"/>
      <c r="V182" s="19"/>
      <c r="W182" s="19"/>
      <c r="X182" s="19"/>
    </row>
    <row r="183" spans="1:24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 t="str">
        <f>IFERROR(VLOOKUP($K183,Parameters!$A$5:$D$101,3,FALSE),"")</f>
        <v/>
      </c>
      <c r="R183" s="19" t="str">
        <f>IFERROR(VLOOKUP($K183,Parameters!$A$5:$D$101,4,FALSE),"")</f>
        <v/>
      </c>
      <c r="S183" s="19"/>
      <c r="T183" s="19"/>
      <c r="U183" s="19"/>
      <c r="V183" s="19"/>
      <c r="W183" s="19"/>
      <c r="X183" s="19"/>
    </row>
    <row r="184" spans="1:2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 t="str">
        <f>IFERROR(VLOOKUP($K184,Parameters!$A$5:$D$101,3,FALSE),"")</f>
        <v/>
      </c>
      <c r="R184" s="19" t="str">
        <f>IFERROR(VLOOKUP($K184,Parameters!$A$5:$D$101,4,FALSE),"")</f>
        <v/>
      </c>
      <c r="S184" s="19"/>
      <c r="T184" s="19"/>
      <c r="U184" s="19"/>
      <c r="V184" s="19"/>
      <c r="W184" s="19"/>
      <c r="X184" s="19"/>
    </row>
    <row r="185" spans="1:24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 t="str">
        <f>IFERROR(VLOOKUP($K185,Parameters!$A$5:$D$101,3,FALSE),"")</f>
        <v/>
      </c>
      <c r="R185" s="19" t="str">
        <f>IFERROR(VLOOKUP($K185,Parameters!$A$5:$D$101,4,FALSE),"")</f>
        <v/>
      </c>
      <c r="S185" s="19"/>
      <c r="T185" s="19"/>
      <c r="U185" s="19"/>
      <c r="V185" s="19"/>
      <c r="W185" s="19"/>
      <c r="X185" s="19"/>
    </row>
    <row r="186" spans="1:24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 t="str">
        <f>IFERROR(VLOOKUP($K186,Parameters!$A$5:$D$101,3,FALSE),"")</f>
        <v/>
      </c>
      <c r="R186" s="19" t="str">
        <f>IFERROR(VLOOKUP($K186,Parameters!$A$5:$D$101,4,FALSE),"")</f>
        <v/>
      </c>
      <c r="S186" s="19"/>
      <c r="T186" s="19"/>
      <c r="U186" s="19"/>
      <c r="V186" s="19"/>
      <c r="W186" s="19"/>
      <c r="X186" s="19"/>
    </row>
    <row r="187" spans="1:24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 t="str">
        <f>IFERROR(VLOOKUP($K187,Parameters!$A$5:$D$101,3,FALSE),"")</f>
        <v/>
      </c>
      <c r="R187" s="19" t="str">
        <f>IFERROR(VLOOKUP($K187,Parameters!$A$5:$D$101,4,FALSE),"")</f>
        <v/>
      </c>
      <c r="S187" s="19"/>
      <c r="T187" s="19"/>
      <c r="U187" s="19"/>
      <c r="V187" s="19"/>
      <c r="W187" s="19"/>
      <c r="X187" s="19"/>
    </row>
    <row r="188" spans="1:24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 t="str">
        <f>IFERROR(VLOOKUP($K188,Parameters!$A$5:$D$101,3,FALSE),"")</f>
        <v/>
      </c>
      <c r="R188" s="19" t="str">
        <f>IFERROR(VLOOKUP($K188,Parameters!$A$5:$D$101,4,FALSE),"")</f>
        <v/>
      </c>
      <c r="S188" s="19"/>
      <c r="T188" s="19"/>
      <c r="U188" s="19"/>
      <c r="V188" s="19"/>
      <c r="W188" s="19"/>
      <c r="X188" s="19"/>
    </row>
    <row r="189" spans="1:24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 t="str">
        <f>IFERROR(VLOOKUP($K189,Parameters!$A$5:$D$101,3,FALSE),"")</f>
        <v/>
      </c>
      <c r="R189" s="19" t="str">
        <f>IFERROR(VLOOKUP($K189,Parameters!$A$5:$D$101,4,FALSE),"")</f>
        <v/>
      </c>
      <c r="S189" s="19"/>
      <c r="T189" s="19"/>
      <c r="U189" s="19"/>
      <c r="V189" s="19"/>
      <c r="W189" s="19"/>
      <c r="X189" s="19"/>
    </row>
    <row r="190" spans="1:24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 t="str">
        <f>IFERROR(VLOOKUP($K190,Parameters!$A$5:$D$101,3,FALSE),"")</f>
        <v/>
      </c>
      <c r="R190" s="19" t="str">
        <f>IFERROR(VLOOKUP($K190,Parameters!$A$5:$D$101,4,FALSE),"")</f>
        <v/>
      </c>
      <c r="S190" s="19"/>
      <c r="T190" s="19"/>
      <c r="U190" s="19"/>
      <c r="V190" s="19"/>
      <c r="W190" s="19"/>
      <c r="X190" s="19"/>
    </row>
    <row r="191" spans="1:24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 t="str">
        <f>IFERROR(VLOOKUP($K191,Parameters!$A$5:$D$101,3,FALSE),"")</f>
        <v/>
      </c>
      <c r="R191" s="19" t="str">
        <f>IFERROR(VLOOKUP($K191,Parameters!$A$5:$D$101,4,FALSE),"")</f>
        <v/>
      </c>
      <c r="S191" s="19"/>
      <c r="T191" s="19"/>
      <c r="U191" s="19"/>
      <c r="V191" s="19"/>
      <c r="W191" s="19"/>
      <c r="X191" s="19"/>
    </row>
    <row r="192" spans="1:24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 t="str">
        <f>IFERROR(VLOOKUP($K192,Parameters!$A$5:$D$101,3,FALSE),"")</f>
        <v/>
      </c>
      <c r="R192" s="19" t="str">
        <f>IFERROR(VLOOKUP($K192,Parameters!$A$5:$D$101,4,FALSE),"")</f>
        <v/>
      </c>
      <c r="S192" s="19"/>
      <c r="T192" s="19"/>
      <c r="U192" s="19"/>
      <c r="V192" s="19"/>
      <c r="W192" s="19"/>
      <c r="X192" s="19"/>
    </row>
    <row r="193" spans="1:24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 t="str">
        <f>IFERROR(VLOOKUP($K193,Parameters!$A$5:$D$101,3,FALSE),"")</f>
        <v/>
      </c>
      <c r="R193" s="19" t="str">
        <f>IFERROR(VLOOKUP($K193,Parameters!$A$5:$D$101,4,FALSE),"")</f>
        <v/>
      </c>
      <c r="S193" s="19"/>
      <c r="T193" s="19"/>
      <c r="U193" s="19"/>
      <c r="V193" s="19"/>
      <c r="W193" s="19"/>
      <c r="X193" s="19"/>
    </row>
    <row r="194" spans="1:2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 t="str">
        <f>IFERROR(VLOOKUP($K194,Parameters!$A$5:$D$101,3,FALSE),"")</f>
        <v/>
      </c>
      <c r="R194" s="19" t="str">
        <f>IFERROR(VLOOKUP($K194,Parameters!$A$5:$D$101,4,FALSE),"")</f>
        <v/>
      </c>
      <c r="S194" s="19"/>
      <c r="T194" s="19"/>
      <c r="U194" s="19"/>
      <c r="V194" s="19"/>
      <c r="W194" s="19"/>
      <c r="X194" s="19"/>
    </row>
    <row r="195" spans="1:24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 t="str">
        <f>IFERROR(VLOOKUP($K195,Parameters!$A$5:$D$101,3,FALSE),"")</f>
        <v/>
      </c>
      <c r="R195" s="19" t="str">
        <f>IFERROR(VLOOKUP($K195,Parameters!$A$5:$D$101,4,FALSE),"")</f>
        <v/>
      </c>
      <c r="S195" s="19"/>
      <c r="T195" s="19"/>
      <c r="U195" s="19"/>
      <c r="V195" s="19"/>
      <c r="W195" s="19"/>
      <c r="X195" s="19"/>
    </row>
    <row r="196" spans="1:24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 t="str">
        <f>IFERROR(VLOOKUP($K196,Parameters!$A$5:$D$101,3,FALSE),"")</f>
        <v/>
      </c>
      <c r="R196" s="19" t="str">
        <f>IFERROR(VLOOKUP($K196,Parameters!$A$5:$D$101,4,FALSE),"")</f>
        <v/>
      </c>
      <c r="S196" s="19"/>
      <c r="T196" s="19"/>
      <c r="U196" s="19"/>
      <c r="V196" s="19"/>
      <c r="W196" s="19"/>
      <c r="X196" s="19"/>
    </row>
    <row r="197" spans="1:24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 t="str">
        <f>IFERROR(VLOOKUP($K197,Parameters!$A$5:$D$101,3,FALSE),"")</f>
        <v/>
      </c>
      <c r="R197" s="19" t="str">
        <f>IFERROR(VLOOKUP($K197,Parameters!$A$5:$D$101,4,FALSE),"")</f>
        <v/>
      </c>
      <c r="S197" s="19"/>
      <c r="T197" s="19"/>
      <c r="U197" s="19"/>
      <c r="V197" s="19"/>
      <c r="W197" s="19"/>
      <c r="X197" s="19"/>
    </row>
    <row r="198" spans="1:24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 t="str">
        <f>IFERROR(VLOOKUP($K198,Parameters!$A$5:$D$101,3,FALSE),"")</f>
        <v/>
      </c>
      <c r="R198" s="19" t="str">
        <f>IFERROR(VLOOKUP($K198,Parameters!$A$5:$D$101,4,FALSE),"")</f>
        <v/>
      </c>
      <c r="S198" s="19"/>
      <c r="T198" s="19"/>
      <c r="U198" s="19"/>
      <c r="V198" s="19"/>
      <c r="W198" s="19"/>
      <c r="X198" s="19"/>
    </row>
    <row r="199" spans="1:24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 t="str">
        <f>IFERROR(VLOOKUP($K199,Parameters!$A$5:$D$101,3,FALSE),"")</f>
        <v/>
      </c>
      <c r="R199" s="19" t="str">
        <f>IFERROR(VLOOKUP($K199,Parameters!$A$5:$D$101,4,FALSE),"")</f>
        <v/>
      </c>
      <c r="S199" s="19"/>
      <c r="T199" s="19"/>
      <c r="U199" s="19"/>
      <c r="V199" s="19"/>
      <c r="W199" s="19"/>
      <c r="X199" s="19"/>
    </row>
    <row r="200" spans="1:24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 t="str">
        <f>IFERROR(VLOOKUP($K200,Parameters!$A$5:$D$101,3,FALSE),"")</f>
        <v/>
      </c>
      <c r="R200" s="19" t="str">
        <f>IFERROR(VLOOKUP($K200,Parameters!$A$5:$D$101,4,FALSE),"")</f>
        <v/>
      </c>
      <c r="S200" s="19"/>
      <c r="T200" s="19"/>
      <c r="U200" s="19"/>
      <c r="V200" s="19"/>
      <c r="W200" s="19"/>
      <c r="X200" s="19"/>
    </row>
    <row r="201" spans="1:24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 t="str">
        <f>IFERROR(VLOOKUP($K201,Parameters!$A$5:$D$101,3,FALSE),"")</f>
        <v/>
      </c>
      <c r="R201" s="19" t="str">
        <f>IFERROR(VLOOKUP($K201,Parameters!$A$5:$D$101,4,FALSE),"")</f>
        <v/>
      </c>
      <c r="S201" s="19"/>
      <c r="T201" s="19"/>
      <c r="U201" s="19"/>
      <c r="V201" s="19"/>
      <c r="W201" s="19"/>
      <c r="X201" s="19"/>
    </row>
    <row r="202" spans="1:24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 t="str">
        <f>IFERROR(VLOOKUP($K202,Parameters!$A$5:$D$101,3,FALSE),"")</f>
        <v/>
      </c>
      <c r="R202" s="19" t="str">
        <f>IFERROR(VLOOKUP($K202,Parameters!$A$5:$D$101,4,FALSE),"")</f>
        <v/>
      </c>
      <c r="S202" s="19"/>
      <c r="T202" s="19"/>
      <c r="U202" s="19"/>
      <c r="V202" s="19"/>
      <c r="W202" s="19"/>
      <c r="X202" s="19"/>
    </row>
    <row r="203" spans="1:24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 t="str">
        <f>IFERROR(VLOOKUP($K203,Parameters!$A$5:$D$101,3,FALSE),"")</f>
        <v/>
      </c>
      <c r="R203" s="19" t="str">
        <f>IFERROR(VLOOKUP($K203,Parameters!$A$5:$D$101,4,FALSE),"")</f>
        <v/>
      </c>
      <c r="S203" s="19"/>
      <c r="T203" s="19"/>
      <c r="U203" s="19"/>
      <c r="V203" s="19"/>
      <c r="W203" s="19"/>
      <c r="X203" s="19"/>
    </row>
    <row r="204" spans="1:2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 t="str">
        <f>IFERROR(VLOOKUP($K204,Parameters!$A$5:$D$101,3,FALSE),"")</f>
        <v/>
      </c>
      <c r="R204" s="19" t="str">
        <f>IFERROR(VLOOKUP($K204,Parameters!$A$5:$D$101,4,FALSE),"")</f>
        <v/>
      </c>
      <c r="S204" s="19"/>
      <c r="T204" s="19"/>
      <c r="U204" s="19"/>
      <c r="V204" s="19"/>
      <c r="W204" s="19"/>
      <c r="X204" s="19"/>
    </row>
    <row r="205" spans="1:24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 t="str">
        <f>IFERROR(VLOOKUP($K205,Parameters!$A$5:$D$101,3,FALSE),"")</f>
        <v/>
      </c>
      <c r="R205" s="19" t="str">
        <f>IFERROR(VLOOKUP($K205,Parameters!$A$5:$D$101,4,FALSE),"")</f>
        <v/>
      </c>
      <c r="S205" s="19"/>
      <c r="T205" s="19"/>
      <c r="U205" s="19"/>
      <c r="V205" s="19"/>
      <c r="W205" s="19"/>
      <c r="X205" s="19"/>
    </row>
    <row r="206" spans="1:24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 t="str">
        <f>IFERROR(VLOOKUP($K206,Parameters!$A$5:$D$101,3,FALSE),"")</f>
        <v/>
      </c>
      <c r="R206" s="19" t="str">
        <f>IFERROR(VLOOKUP($K206,Parameters!$A$5:$D$101,4,FALSE),"")</f>
        <v/>
      </c>
      <c r="S206" s="19"/>
      <c r="T206" s="19"/>
      <c r="U206" s="19"/>
      <c r="V206" s="19"/>
      <c r="W206" s="19"/>
      <c r="X206" s="19"/>
    </row>
    <row r="207" spans="1:24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 t="str">
        <f>IFERROR(VLOOKUP($K207,Parameters!$A$5:$D$101,3,FALSE),"")</f>
        <v/>
      </c>
      <c r="R207" s="19" t="str">
        <f>IFERROR(VLOOKUP($K207,Parameters!$A$5:$D$101,4,FALSE),"")</f>
        <v/>
      </c>
      <c r="S207" s="19"/>
      <c r="T207" s="19"/>
      <c r="U207" s="19"/>
      <c r="V207" s="19"/>
      <c r="W207" s="19"/>
      <c r="X207" s="19"/>
    </row>
    <row r="208" spans="1:24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 t="str">
        <f>IFERROR(VLOOKUP($K208,Parameters!$A$5:$D$101,3,FALSE),"")</f>
        <v/>
      </c>
      <c r="R208" s="19" t="str">
        <f>IFERROR(VLOOKUP($K208,Parameters!$A$5:$D$101,4,FALSE),"")</f>
        <v/>
      </c>
      <c r="S208" s="19"/>
      <c r="T208" s="19"/>
      <c r="U208" s="19"/>
      <c r="V208" s="19"/>
      <c r="W208" s="19"/>
      <c r="X208" s="19"/>
    </row>
    <row r="209" spans="1:24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 t="str">
        <f>IFERROR(VLOOKUP($K209,Parameters!$A$5:$D$101,3,FALSE),"")</f>
        <v/>
      </c>
      <c r="R209" s="19" t="str">
        <f>IFERROR(VLOOKUP($K209,Parameters!$A$5:$D$101,4,FALSE),"")</f>
        <v/>
      </c>
      <c r="S209" s="19"/>
      <c r="T209" s="19"/>
      <c r="U209" s="19"/>
      <c r="V209" s="19"/>
      <c r="W209" s="19"/>
      <c r="X209" s="19"/>
    </row>
    <row r="210" spans="1:24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 t="str">
        <f>IFERROR(VLOOKUP($K210,Parameters!$A$5:$D$101,3,FALSE),"")</f>
        <v/>
      </c>
      <c r="R210" s="19" t="str">
        <f>IFERROR(VLOOKUP($K210,Parameters!$A$5:$D$101,4,FALSE),"")</f>
        <v/>
      </c>
      <c r="S210" s="19"/>
      <c r="T210" s="19"/>
      <c r="U210" s="19"/>
      <c r="V210" s="19"/>
      <c r="W210" s="19"/>
      <c r="X210" s="19"/>
    </row>
    <row r="211" spans="1:24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 t="str">
        <f>IFERROR(VLOOKUP($K211,Parameters!$A$5:$D$101,3,FALSE),"")</f>
        <v/>
      </c>
      <c r="R211" s="19" t="str">
        <f>IFERROR(VLOOKUP($K211,Parameters!$A$5:$D$101,4,FALSE),"")</f>
        <v/>
      </c>
      <c r="S211" s="19"/>
      <c r="T211" s="19"/>
      <c r="U211" s="19"/>
      <c r="V211" s="19"/>
      <c r="W211" s="19"/>
      <c r="X211" s="19"/>
    </row>
    <row r="212" spans="1:24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 t="str">
        <f>IFERROR(VLOOKUP($K212,Parameters!$A$5:$D$101,3,FALSE),"")</f>
        <v/>
      </c>
      <c r="R212" s="19" t="str">
        <f>IFERROR(VLOOKUP($K212,Parameters!$A$5:$D$101,4,FALSE),"")</f>
        <v/>
      </c>
      <c r="S212" s="19"/>
      <c r="T212" s="19"/>
      <c r="U212" s="19"/>
      <c r="V212" s="19"/>
      <c r="W212" s="19"/>
      <c r="X212" s="19"/>
    </row>
    <row r="213" spans="1:24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 t="str">
        <f>IFERROR(VLOOKUP($K213,Parameters!$A$5:$D$101,3,FALSE),"")</f>
        <v/>
      </c>
      <c r="R213" s="19" t="str">
        <f>IFERROR(VLOOKUP($K213,Parameters!$A$5:$D$101,4,FALSE),"")</f>
        <v/>
      </c>
      <c r="S213" s="19"/>
      <c r="T213" s="19"/>
      <c r="U213" s="19"/>
      <c r="V213" s="19"/>
      <c r="W213" s="19"/>
      <c r="X213" s="19"/>
    </row>
    <row r="214" spans="1:2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 t="str">
        <f>IFERROR(VLOOKUP($K214,Parameters!$A$5:$D$101,3,FALSE),"")</f>
        <v/>
      </c>
      <c r="R214" s="19" t="str">
        <f>IFERROR(VLOOKUP($K214,Parameters!$A$5:$D$101,4,FALSE),"")</f>
        <v/>
      </c>
      <c r="S214" s="19"/>
      <c r="T214" s="19"/>
      <c r="U214" s="19"/>
      <c r="V214" s="19"/>
      <c r="W214" s="19"/>
      <c r="X214" s="19"/>
    </row>
    <row r="215" spans="1:24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 t="str">
        <f>IFERROR(VLOOKUP($K215,Parameters!$A$5:$D$101,3,FALSE),"")</f>
        <v/>
      </c>
      <c r="R215" s="19" t="str">
        <f>IFERROR(VLOOKUP($K215,Parameters!$A$5:$D$101,4,FALSE),"")</f>
        <v/>
      </c>
      <c r="S215" s="19"/>
      <c r="T215" s="19"/>
      <c r="U215" s="19"/>
      <c r="V215" s="19"/>
      <c r="W215" s="19"/>
      <c r="X215" s="19"/>
    </row>
    <row r="216" spans="1:24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 t="str">
        <f>IFERROR(VLOOKUP($K216,Parameters!$A$5:$D$101,3,FALSE),"")</f>
        <v/>
      </c>
      <c r="R216" s="19" t="str">
        <f>IFERROR(VLOOKUP($K216,Parameters!$A$5:$D$101,4,FALSE),"")</f>
        <v/>
      </c>
      <c r="S216" s="19"/>
      <c r="T216" s="19"/>
      <c r="U216" s="19"/>
      <c r="V216" s="19"/>
      <c r="W216" s="19"/>
      <c r="X216" s="19"/>
    </row>
    <row r="217" spans="1:24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 t="str">
        <f>IFERROR(VLOOKUP($K217,Parameters!$A$5:$D$101,3,FALSE),"")</f>
        <v/>
      </c>
      <c r="R217" s="19" t="str">
        <f>IFERROR(VLOOKUP($K217,Parameters!$A$5:$D$101,4,FALSE),"")</f>
        <v/>
      </c>
      <c r="S217" s="19"/>
      <c r="T217" s="19"/>
      <c r="U217" s="19"/>
      <c r="V217" s="19"/>
      <c r="W217" s="19"/>
      <c r="X217" s="19"/>
    </row>
    <row r="218" spans="1:24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 t="str">
        <f>IFERROR(VLOOKUP($K218,Parameters!$A$5:$D$101,3,FALSE),"")</f>
        <v/>
      </c>
      <c r="R218" s="19" t="str">
        <f>IFERROR(VLOOKUP($K218,Parameters!$A$5:$D$101,4,FALSE),"")</f>
        <v/>
      </c>
      <c r="S218" s="19"/>
      <c r="T218" s="19"/>
      <c r="U218" s="19"/>
      <c r="V218" s="19"/>
      <c r="W218" s="19"/>
      <c r="X218" s="19"/>
    </row>
    <row r="219" spans="1:24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 t="str">
        <f>IFERROR(VLOOKUP($K219,Parameters!$A$5:$D$101,3,FALSE),"")</f>
        <v/>
      </c>
      <c r="R219" s="19" t="str">
        <f>IFERROR(VLOOKUP($K219,Parameters!$A$5:$D$101,4,FALSE),"")</f>
        <v/>
      </c>
      <c r="S219" s="19"/>
      <c r="T219" s="19"/>
      <c r="U219" s="19"/>
      <c r="V219" s="19"/>
      <c r="W219" s="19"/>
      <c r="X219" s="19"/>
    </row>
    <row r="220" spans="1:24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 t="str">
        <f>IFERROR(VLOOKUP($K220,Parameters!$A$5:$D$101,3,FALSE),"")</f>
        <v/>
      </c>
      <c r="R220" s="19" t="str">
        <f>IFERROR(VLOOKUP($K220,Parameters!$A$5:$D$101,4,FALSE),"")</f>
        <v/>
      </c>
      <c r="S220" s="19"/>
      <c r="T220" s="19"/>
      <c r="U220" s="19"/>
      <c r="V220" s="19"/>
      <c r="W220" s="19"/>
      <c r="X220" s="19"/>
    </row>
    <row r="221" spans="1:24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 t="str">
        <f>IFERROR(VLOOKUP($K221,Parameters!$A$5:$D$101,3,FALSE),"")</f>
        <v/>
      </c>
      <c r="R221" s="19" t="str">
        <f>IFERROR(VLOOKUP($K221,Parameters!$A$5:$D$101,4,FALSE),"")</f>
        <v/>
      </c>
      <c r="S221" s="19"/>
      <c r="T221" s="19"/>
      <c r="U221" s="19"/>
      <c r="V221" s="19"/>
      <c r="W221" s="19"/>
      <c r="X221" s="19"/>
    </row>
    <row r="222" spans="1:24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 t="str">
        <f>IFERROR(VLOOKUP($K222,Parameters!$A$5:$D$101,3,FALSE),"")</f>
        <v/>
      </c>
      <c r="R222" s="19" t="str">
        <f>IFERROR(VLOOKUP($K222,Parameters!$A$5:$D$101,4,FALSE),"")</f>
        <v/>
      </c>
      <c r="S222" s="19"/>
      <c r="T222" s="19"/>
      <c r="U222" s="19"/>
      <c r="V222" s="19"/>
      <c r="W222" s="19"/>
      <c r="X222" s="19"/>
    </row>
    <row r="223" spans="1:24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 t="str">
        <f>IFERROR(VLOOKUP($K223,Parameters!$A$5:$D$101,3,FALSE),"")</f>
        <v/>
      </c>
      <c r="R223" s="19" t="str">
        <f>IFERROR(VLOOKUP($K223,Parameters!$A$5:$D$101,4,FALSE),"")</f>
        <v/>
      </c>
      <c r="S223" s="19"/>
      <c r="T223" s="19"/>
      <c r="U223" s="19"/>
      <c r="V223" s="19"/>
      <c r="W223" s="19"/>
      <c r="X223" s="19"/>
    </row>
    <row r="224" spans="1: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 t="str">
        <f>IFERROR(VLOOKUP($K224,Parameters!$A$5:$D$101,3,FALSE),"")</f>
        <v/>
      </c>
      <c r="R224" s="19" t="str">
        <f>IFERROR(VLOOKUP($K224,Parameters!$A$5:$D$101,4,FALSE),"")</f>
        <v/>
      </c>
      <c r="S224" s="19"/>
      <c r="T224" s="19"/>
      <c r="U224" s="19"/>
      <c r="V224" s="19"/>
      <c r="W224" s="19"/>
      <c r="X224" s="19"/>
    </row>
    <row r="225" spans="1:24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 t="str">
        <f>IFERROR(VLOOKUP($K225,Parameters!$A$5:$D$101,3,FALSE),"")</f>
        <v/>
      </c>
      <c r="R225" s="19" t="str">
        <f>IFERROR(VLOOKUP($K225,Parameters!$A$5:$D$101,4,FALSE),"")</f>
        <v/>
      </c>
      <c r="S225" s="19"/>
      <c r="T225" s="19"/>
      <c r="U225" s="19"/>
      <c r="V225" s="19"/>
      <c r="W225" s="19"/>
      <c r="X225" s="19"/>
    </row>
    <row r="226" spans="1:24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 t="str">
        <f>IFERROR(VLOOKUP($K226,Parameters!$A$5:$D$101,3,FALSE),"")</f>
        <v/>
      </c>
      <c r="R226" s="19" t="str">
        <f>IFERROR(VLOOKUP($K226,Parameters!$A$5:$D$101,4,FALSE),"")</f>
        <v/>
      </c>
      <c r="S226" s="19"/>
      <c r="T226" s="19"/>
      <c r="U226" s="19"/>
      <c r="V226" s="19"/>
      <c r="W226" s="19"/>
      <c r="X226" s="19"/>
    </row>
    <row r="227" spans="1:24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 t="str">
        <f>IFERROR(VLOOKUP($K227,Parameters!$A$5:$D$101,3,FALSE),"")</f>
        <v/>
      </c>
      <c r="R227" s="19" t="str">
        <f>IFERROR(VLOOKUP($K227,Parameters!$A$5:$D$101,4,FALSE),"")</f>
        <v/>
      </c>
      <c r="S227" s="19"/>
      <c r="T227" s="19"/>
      <c r="U227" s="19"/>
      <c r="V227" s="19"/>
      <c r="W227" s="19"/>
      <c r="X227" s="19"/>
    </row>
    <row r="228" spans="1:24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 t="str">
        <f>IFERROR(VLOOKUP($K228,Parameters!$A$5:$D$101,3,FALSE),"")</f>
        <v/>
      </c>
      <c r="R228" s="19" t="str">
        <f>IFERROR(VLOOKUP($K228,Parameters!$A$5:$D$101,4,FALSE),"")</f>
        <v/>
      </c>
      <c r="S228" s="19"/>
      <c r="T228" s="19"/>
      <c r="U228" s="19"/>
      <c r="V228" s="19"/>
      <c r="W228" s="19"/>
      <c r="X228" s="19"/>
    </row>
    <row r="229" spans="1:24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 t="str">
        <f>IFERROR(VLOOKUP($K229,Parameters!$A$5:$D$101,3,FALSE),"")</f>
        <v/>
      </c>
      <c r="R229" s="19" t="str">
        <f>IFERROR(VLOOKUP($K229,Parameters!$A$5:$D$101,4,FALSE),"")</f>
        <v/>
      </c>
      <c r="S229" s="19"/>
      <c r="T229" s="19"/>
      <c r="U229" s="19"/>
      <c r="V229" s="19"/>
      <c r="W229" s="19"/>
      <c r="X229" s="19"/>
    </row>
    <row r="230" spans="1:24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 t="str">
        <f>IFERROR(VLOOKUP($K230,Parameters!$A$5:$D$101,3,FALSE),"")</f>
        <v/>
      </c>
      <c r="R230" s="19" t="str">
        <f>IFERROR(VLOOKUP($K230,Parameters!$A$5:$D$101,4,FALSE),"")</f>
        <v/>
      </c>
      <c r="S230" s="19"/>
      <c r="T230" s="19"/>
      <c r="U230" s="19"/>
      <c r="V230" s="19"/>
      <c r="W230" s="19"/>
      <c r="X230" s="19"/>
    </row>
    <row r="231" spans="1:24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 t="str">
        <f>IFERROR(VLOOKUP($K231,Parameters!$A$5:$D$101,3,FALSE),"")</f>
        <v/>
      </c>
      <c r="R231" s="19" t="str">
        <f>IFERROR(VLOOKUP($K231,Parameters!$A$5:$D$101,4,FALSE),"")</f>
        <v/>
      </c>
      <c r="S231" s="19"/>
      <c r="T231" s="19"/>
      <c r="U231" s="19"/>
      <c r="V231" s="19"/>
      <c r="W231" s="19"/>
      <c r="X231" s="19"/>
    </row>
    <row r="232" spans="1:24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 t="str">
        <f>IFERROR(VLOOKUP($K232,Parameters!$A$5:$D$101,3,FALSE),"")</f>
        <v/>
      </c>
      <c r="R232" s="19" t="str">
        <f>IFERROR(VLOOKUP($K232,Parameters!$A$5:$D$101,4,FALSE),"")</f>
        <v/>
      </c>
      <c r="S232" s="19"/>
      <c r="T232" s="19"/>
      <c r="U232" s="19"/>
      <c r="V232" s="19"/>
      <c r="W232" s="19"/>
      <c r="X232" s="19"/>
    </row>
    <row r="233" spans="1:24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 t="str">
        <f>IFERROR(VLOOKUP($K233,Parameters!$A$5:$D$101,3,FALSE),"")</f>
        <v/>
      </c>
      <c r="R233" s="19" t="str">
        <f>IFERROR(VLOOKUP($K233,Parameters!$A$5:$D$101,4,FALSE),"")</f>
        <v/>
      </c>
      <c r="S233" s="19"/>
      <c r="T233" s="19"/>
      <c r="U233" s="19"/>
      <c r="V233" s="19"/>
      <c r="W233" s="19"/>
      <c r="X233" s="19"/>
    </row>
    <row r="234" spans="1:2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 t="str">
        <f>IFERROR(VLOOKUP($K234,Parameters!$A$5:$D$101,3,FALSE),"")</f>
        <v/>
      </c>
      <c r="R234" s="19" t="str">
        <f>IFERROR(VLOOKUP($K234,Parameters!$A$5:$D$101,4,FALSE),"")</f>
        <v/>
      </c>
      <c r="S234" s="19"/>
      <c r="T234" s="19"/>
      <c r="U234" s="19"/>
      <c r="V234" s="19"/>
      <c r="W234" s="19"/>
      <c r="X234" s="19"/>
    </row>
    <row r="235" spans="1:24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 t="str">
        <f>IFERROR(VLOOKUP($K235,Parameters!$A$5:$D$101,3,FALSE),"")</f>
        <v/>
      </c>
      <c r="R235" s="19" t="str">
        <f>IFERROR(VLOOKUP($K235,Parameters!$A$5:$D$101,4,FALSE),"")</f>
        <v/>
      </c>
      <c r="S235" s="19"/>
      <c r="T235" s="19"/>
      <c r="U235" s="19"/>
      <c r="V235" s="19"/>
      <c r="W235" s="19"/>
      <c r="X235" s="19"/>
    </row>
    <row r="236" spans="1:24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 t="str">
        <f>IFERROR(VLOOKUP($K236,Parameters!$A$5:$D$101,3,FALSE),"")</f>
        <v/>
      </c>
      <c r="R236" s="19" t="str">
        <f>IFERROR(VLOOKUP($K236,Parameters!$A$5:$D$101,4,FALSE),"")</f>
        <v/>
      </c>
      <c r="S236" s="19"/>
      <c r="T236" s="19"/>
      <c r="U236" s="19"/>
      <c r="V236" s="19"/>
      <c r="W236" s="19"/>
      <c r="X236" s="19"/>
    </row>
    <row r="237" spans="1:24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 t="str">
        <f>IFERROR(VLOOKUP($K237,Parameters!$A$5:$D$101,3,FALSE),"")</f>
        <v/>
      </c>
      <c r="R237" s="19" t="str">
        <f>IFERROR(VLOOKUP($K237,Parameters!$A$5:$D$101,4,FALSE),"")</f>
        <v/>
      </c>
      <c r="S237" s="19"/>
      <c r="T237" s="19"/>
      <c r="U237" s="19"/>
      <c r="V237" s="19"/>
      <c r="W237" s="19"/>
      <c r="X237" s="19"/>
    </row>
    <row r="238" spans="1:24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 t="str">
        <f>IFERROR(VLOOKUP($K238,Parameters!$A$5:$D$101,3,FALSE),"")</f>
        <v/>
      </c>
      <c r="R238" s="19" t="str">
        <f>IFERROR(VLOOKUP($K238,Parameters!$A$5:$D$101,4,FALSE),"")</f>
        <v/>
      </c>
      <c r="S238" s="19"/>
      <c r="T238" s="19"/>
      <c r="U238" s="19"/>
      <c r="V238" s="19"/>
      <c r="W238" s="19"/>
      <c r="X238" s="19"/>
    </row>
    <row r="239" spans="1:24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 t="str">
        <f>IFERROR(VLOOKUP($K239,Parameters!$A$5:$D$101,3,FALSE),"")</f>
        <v/>
      </c>
      <c r="R239" s="19" t="str">
        <f>IFERROR(VLOOKUP($K239,Parameters!$A$5:$D$101,4,FALSE),"")</f>
        <v/>
      </c>
      <c r="S239" s="19"/>
      <c r="T239" s="19"/>
      <c r="U239" s="19"/>
      <c r="V239" s="19"/>
      <c r="W239" s="19"/>
      <c r="X239" s="19"/>
    </row>
    <row r="240" spans="1:24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 t="str">
        <f>IFERROR(VLOOKUP($K240,Parameters!$A$5:$D$101,3,FALSE),"")</f>
        <v/>
      </c>
      <c r="R240" s="19" t="str">
        <f>IFERROR(VLOOKUP($K240,Parameters!$A$5:$D$101,4,FALSE),"")</f>
        <v/>
      </c>
      <c r="S240" s="19"/>
      <c r="T240" s="19"/>
      <c r="U240" s="19"/>
      <c r="V240" s="19"/>
      <c r="W240" s="19"/>
      <c r="X240" s="19"/>
    </row>
    <row r="241" spans="1:24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 t="str">
        <f>IFERROR(VLOOKUP($K241,Parameters!$A$5:$D$101,3,FALSE),"")</f>
        <v/>
      </c>
      <c r="R241" s="19" t="str">
        <f>IFERROR(VLOOKUP($K241,Parameters!$A$5:$D$101,4,FALSE),"")</f>
        <v/>
      </c>
      <c r="S241" s="19"/>
      <c r="T241" s="19"/>
      <c r="U241" s="19"/>
      <c r="V241" s="19"/>
      <c r="W241" s="19"/>
      <c r="X241" s="19"/>
    </row>
    <row r="242" spans="1:24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 t="str">
        <f>IFERROR(VLOOKUP($K242,Parameters!$A$5:$D$101,3,FALSE),"")</f>
        <v/>
      </c>
      <c r="R242" s="19" t="str">
        <f>IFERROR(VLOOKUP($K242,Parameters!$A$5:$D$101,4,FALSE),"")</f>
        <v/>
      </c>
      <c r="S242" s="19"/>
      <c r="T242" s="19"/>
      <c r="U242" s="19"/>
      <c r="V242" s="19"/>
      <c r="W242" s="19"/>
      <c r="X242" s="19"/>
    </row>
    <row r="243" spans="1:24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 t="str">
        <f>IFERROR(VLOOKUP($K243,Parameters!$A$5:$D$101,3,FALSE),"")</f>
        <v/>
      </c>
      <c r="R243" s="19" t="str">
        <f>IFERROR(VLOOKUP($K243,Parameters!$A$5:$D$101,4,FALSE),"")</f>
        <v/>
      </c>
      <c r="S243" s="19"/>
      <c r="T243" s="19"/>
      <c r="U243" s="19"/>
      <c r="V243" s="19"/>
      <c r="W243" s="19"/>
      <c r="X243" s="19"/>
    </row>
    <row r="244" spans="1:2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 t="str">
        <f>IFERROR(VLOOKUP($K244,Parameters!$A$5:$D$101,3,FALSE),"")</f>
        <v/>
      </c>
      <c r="R244" s="19" t="str">
        <f>IFERROR(VLOOKUP($K244,Parameters!$A$5:$D$101,4,FALSE),"")</f>
        <v/>
      </c>
      <c r="S244" s="19"/>
      <c r="T244" s="19"/>
      <c r="U244" s="19"/>
      <c r="V244" s="19"/>
      <c r="W244" s="19"/>
      <c r="X244" s="19"/>
    </row>
    <row r="245" spans="1:24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 t="str">
        <f>IFERROR(VLOOKUP($K245,Parameters!$A$5:$D$101,3,FALSE),"")</f>
        <v/>
      </c>
      <c r="R245" s="19" t="str">
        <f>IFERROR(VLOOKUP($K245,Parameters!$A$5:$D$101,4,FALSE),"")</f>
        <v/>
      </c>
      <c r="S245" s="19"/>
      <c r="T245" s="19"/>
      <c r="U245" s="19"/>
      <c r="V245" s="19"/>
      <c r="W245" s="19"/>
      <c r="X245" s="19"/>
    </row>
    <row r="246" spans="1:24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 t="str">
        <f>IFERROR(VLOOKUP($K246,Parameters!$A$5:$D$101,3,FALSE),"")</f>
        <v/>
      </c>
      <c r="R246" s="19" t="str">
        <f>IFERROR(VLOOKUP($K246,Parameters!$A$5:$D$101,4,FALSE),"")</f>
        <v/>
      </c>
      <c r="S246" s="19"/>
      <c r="T246" s="19"/>
      <c r="U246" s="19"/>
      <c r="V246" s="19"/>
      <c r="W246" s="19"/>
      <c r="X246" s="19"/>
    </row>
    <row r="247" spans="1:24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 t="str">
        <f>IFERROR(VLOOKUP($K247,Parameters!$A$5:$D$101,3,FALSE),"")</f>
        <v/>
      </c>
      <c r="R247" s="19" t="str">
        <f>IFERROR(VLOOKUP($K247,Parameters!$A$5:$D$101,4,FALSE),"")</f>
        <v/>
      </c>
      <c r="S247" s="19"/>
      <c r="T247" s="19"/>
      <c r="U247" s="19"/>
      <c r="V247" s="19"/>
      <c r="W247" s="19"/>
      <c r="X247" s="19"/>
    </row>
    <row r="248" spans="1:24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 t="str">
        <f>IFERROR(VLOOKUP($K248,Parameters!$A$5:$D$101,3,FALSE),"")</f>
        <v/>
      </c>
      <c r="R248" s="19" t="str">
        <f>IFERROR(VLOOKUP($K248,Parameters!$A$5:$D$101,4,FALSE),"")</f>
        <v/>
      </c>
      <c r="S248" s="19"/>
      <c r="T248" s="19"/>
      <c r="U248" s="19"/>
      <c r="V248" s="19"/>
      <c r="W248" s="19"/>
      <c r="X248" s="19"/>
    </row>
    <row r="249" spans="1:24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 t="str">
        <f>IFERROR(VLOOKUP($K249,Parameters!$A$5:$D$101,3,FALSE),"")</f>
        <v/>
      </c>
      <c r="R249" s="19" t="str">
        <f>IFERROR(VLOOKUP($K249,Parameters!$A$5:$D$101,4,FALSE),"")</f>
        <v/>
      </c>
      <c r="S249" s="19"/>
      <c r="T249" s="19"/>
      <c r="U249" s="19"/>
      <c r="V249" s="19"/>
      <c r="W249" s="19"/>
      <c r="X249" s="19"/>
    </row>
    <row r="250" spans="1:24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 t="str">
        <f>IFERROR(VLOOKUP($K250,Parameters!$A$5:$D$101,3,FALSE),"")</f>
        <v/>
      </c>
      <c r="R250" s="19" t="str">
        <f>IFERROR(VLOOKUP($K250,Parameters!$A$5:$D$101,4,FALSE),"")</f>
        <v/>
      </c>
      <c r="S250" s="19"/>
      <c r="T250" s="19"/>
      <c r="U250" s="19"/>
      <c r="V250" s="19"/>
      <c r="W250" s="19"/>
      <c r="X250" s="19"/>
    </row>
    <row r="251" spans="1:24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 t="str">
        <f>IFERROR(VLOOKUP($K251,Parameters!$A$5:$D$101,3,FALSE),"")</f>
        <v/>
      </c>
      <c r="R251" s="19" t="str">
        <f>IFERROR(VLOOKUP($K251,Parameters!$A$5:$D$101,4,FALSE),"")</f>
        <v/>
      </c>
      <c r="S251" s="19"/>
      <c r="T251" s="19"/>
      <c r="U251" s="19"/>
      <c r="V251" s="19"/>
      <c r="W251" s="19"/>
      <c r="X251" s="19"/>
    </row>
    <row r="252" spans="1:24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 t="str">
        <f>IFERROR(VLOOKUP($K252,Parameters!$A$5:$D$101,3,FALSE),"")</f>
        <v/>
      </c>
      <c r="R252" s="19" t="str">
        <f>IFERROR(VLOOKUP($K252,Parameters!$A$5:$D$101,4,FALSE),"")</f>
        <v/>
      </c>
      <c r="S252" s="19"/>
      <c r="T252" s="19"/>
      <c r="U252" s="19"/>
      <c r="V252" s="19"/>
      <c r="W252" s="19"/>
      <c r="X252" s="19"/>
    </row>
    <row r="253" spans="1:24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 t="str">
        <f>IFERROR(VLOOKUP($K253,Parameters!$A$5:$D$101,3,FALSE),"")</f>
        <v/>
      </c>
      <c r="R253" s="19" t="str">
        <f>IFERROR(VLOOKUP($K253,Parameters!$A$5:$D$101,4,FALSE),"")</f>
        <v/>
      </c>
      <c r="S253" s="19"/>
      <c r="T253" s="19"/>
      <c r="U253" s="19"/>
      <c r="V253" s="19"/>
      <c r="W253" s="19"/>
      <c r="X253" s="19"/>
    </row>
    <row r="254" spans="1:2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 t="str">
        <f>IFERROR(VLOOKUP($K254,Parameters!$A$5:$D$101,3,FALSE),"")</f>
        <v/>
      </c>
      <c r="R254" s="19" t="str">
        <f>IFERROR(VLOOKUP($K254,Parameters!$A$5:$D$101,4,FALSE),"")</f>
        <v/>
      </c>
      <c r="S254" s="19"/>
      <c r="T254" s="19"/>
      <c r="U254" s="19"/>
      <c r="V254" s="19"/>
      <c r="W254" s="19"/>
      <c r="X254" s="19"/>
    </row>
    <row r="255" spans="1:24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 t="str">
        <f>IFERROR(VLOOKUP($K255,Parameters!$A$5:$D$101,3,FALSE),"")</f>
        <v/>
      </c>
      <c r="R255" s="19" t="str">
        <f>IFERROR(VLOOKUP($K255,Parameters!$A$5:$D$101,4,FALSE),"")</f>
        <v/>
      </c>
      <c r="S255" s="19"/>
      <c r="T255" s="19"/>
      <c r="U255" s="19"/>
      <c r="V255" s="19"/>
      <c r="W255" s="19"/>
      <c r="X255" s="19"/>
    </row>
    <row r="256" spans="1:24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 t="str">
        <f>IFERROR(VLOOKUP($K256,Parameters!$A$5:$D$101,3,FALSE),"")</f>
        <v/>
      </c>
      <c r="R256" s="19" t="str">
        <f>IFERROR(VLOOKUP($K256,Parameters!$A$5:$D$101,4,FALSE),"")</f>
        <v/>
      </c>
      <c r="S256" s="19"/>
      <c r="T256" s="19"/>
      <c r="U256" s="19"/>
      <c r="V256" s="19"/>
      <c r="W256" s="19"/>
      <c r="X256" s="19"/>
    </row>
    <row r="257" spans="1:24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 t="str">
        <f>IFERROR(VLOOKUP($K257,Parameters!$A$5:$D$101,3,FALSE),"")</f>
        <v/>
      </c>
      <c r="R257" s="19" t="str">
        <f>IFERROR(VLOOKUP($K257,Parameters!$A$5:$D$101,4,FALSE),"")</f>
        <v/>
      </c>
      <c r="S257" s="19"/>
      <c r="T257" s="19"/>
      <c r="U257" s="19"/>
      <c r="V257" s="19"/>
      <c r="W257" s="19"/>
      <c r="X257" s="19"/>
    </row>
    <row r="258" spans="1:24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 t="str">
        <f>IFERROR(VLOOKUP($K258,Parameters!$A$5:$D$101,3,FALSE),"")</f>
        <v/>
      </c>
      <c r="R258" s="19" t="str">
        <f>IFERROR(VLOOKUP($K258,Parameters!$A$5:$D$101,4,FALSE),"")</f>
        <v/>
      </c>
      <c r="S258" s="19"/>
      <c r="T258" s="19"/>
      <c r="U258" s="19"/>
      <c r="V258" s="19"/>
      <c r="W258" s="19"/>
      <c r="X258" s="19"/>
    </row>
    <row r="259" spans="1:24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 t="str">
        <f>IFERROR(VLOOKUP($K259,Parameters!$A$5:$D$101,3,FALSE),"")</f>
        <v/>
      </c>
      <c r="R259" s="19" t="str">
        <f>IFERROR(VLOOKUP($K259,Parameters!$A$5:$D$101,4,FALSE),"")</f>
        <v/>
      </c>
      <c r="S259" s="19"/>
      <c r="T259" s="19"/>
      <c r="U259" s="19"/>
      <c r="V259" s="19"/>
      <c r="W259" s="19"/>
      <c r="X259" s="19"/>
    </row>
    <row r="260" spans="1:24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 t="str">
        <f>IFERROR(VLOOKUP($K260,Parameters!$A$5:$D$101,3,FALSE),"")</f>
        <v/>
      </c>
      <c r="R260" s="19" t="str">
        <f>IFERROR(VLOOKUP($K260,Parameters!$A$5:$D$101,4,FALSE),"")</f>
        <v/>
      </c>
      <c r="S260" s="19"/>
      <c r="T260" s="19"/>
      <c r="U260" s="19"/>
      <c r="V260" s="19"/>
      <c r="W260" s="19"/>
      <c r="X260" s="19"/>
    </row>
    <row r="261" spans="1:24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 t="str">
        <f>IFERROR(VLOOKUP($K261,Parameters!$A$5:$D$101,3,FALSE),"")</f>
        <v/>
      </c>
      <c r="R261" s="19" t="str">
        <f>IFERROR(VLOOKUP($K261,Parameters!$A$5:$D$101,4,FALSE),"")</f>
        <v/>
      </c>
      <c r="S261" s="19"/>
      <c r="T261" s="19"/>
      <c r="U261" s="19"/>
      <c r="V261" s="19"/>
      <c r="W261" s="19"/>
      <c r="X261" s="19"/>
    </row>
    <row r="262" spans="1:24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 t="str">
        <f>IFERROR(VLOOKUP($K262,Parameters!$A$5:$D$101,3,FALSE),"")</f>
        <v/>
      </c>
      <c r="R262" s="19" t="str">
        <f>IFERROR(VLOOKUP($K262,Parameters!$A$5:$D$101,4,FALSE),"")</f>
        <v/>
      </c>
      <c r="S262" s="19"/>
      <c r="T262" s="19"/>
      <c r="U262" s="19"/>
      <c r="V262" s="19"/>
      <c r="W262" s="19"/>
      <c r="X262" s="19"/>
    </row>
    <row r="263" spans="1:24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 t="str">
        <f>IFERROR(VLOOKUP($K263,Parameters!$A$5:$D$101,3,FALSE),"")</f>
        <v/>
      </c>
      <c r="R263" s="19" t="str">
        <f>IFERROR(VLOOKUP($K263,Parameters!$A$5:$D$101,4,FALSE),"")</f>
        <v/>
      </c>
      <c r="S263" s="19"/>
      <c r="T263" s="19"/>
      <c r="U263" s="19"/>
      <c r="V263" s="19"/>
      <c r="W263" s="19"/>
      <c r="X263" s="19"/>
    </row>
    <row r="264" spans="1:2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 t="str">
        <f>IFERROR(VLOOKUP($K264,Parameters!$A$5:$D$101,3,FALSE),"")</f>
        <v/>
      </c>
      <c r="R264" s="19" t="str">
        <f>IFERROR(VLOOKUP($K264,Parameters!$A$5:$D$101,4,FALSE),"")</f>
        <v/>
      </c>
      <c r="S264" s="19"/>
      <c r="T264" s="19"/>
      <c r="U264" s="19"/>
      <c r="V264" s="19"/>
      <c r="W264" s="19"/>
      <c r="X264" s="19"/>
    </row>
    <row r="265" spans="1:24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 t="str">
        <f>IFERROR(VLOOKUP($K265,Parameters!$A$5:$D$101,3,FALSE),"")</f>
        <v/>
      </c>
      <c r="R265" s="19" t="str">
        <f>IFERROR(VLOOKUP($K265,Parameters!$A$5:$D$101,4,FALSE),"")</f>
        <v/>
      </c>
      <c r="S265" s="19"/>
      <c r="T265" s="19"/>
      <c r="U265" s="19"/>
      <c r="V265" s="19"/>
      <c r="W265" s="19"/>
      <c r="X265" s="19"/>
    </row>
    <row r="266" spans="1:24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 t="str">
        <f>IFERROR(VLOOKUP($K266,Parameters!$A$5:$D$101,3,FALSE),"")</f>
        <v/>
      </c>
      <c r="R266" s="19" t="str">
        <f>IFERROR(VLOOKUP($K266,Parameters!$A$5:$D$101,4,FALSE),"")</f>
        <v/>
      </c>
      <c r="S266" s="19"/>
      <c r="T266" s="19"/>
      <c r="U266" s="19"/>
      <c r="V266" s="19"/>
      <c r="W266" s="19"/>
      <c r="X266" s="19"/>
    </row>
    <row r="267" spans="1:24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 t="str">
        <f>IFERROR(VLOOKUP($K267,Parameters!$A$5:$D$101,3,FALSE),"")</f>
        <v/>
      </c>
      <c r="R267" s="19" t="str">
        <f>IFERROR(VLOOKUP($K267,Parameters!$A$5:$D$101,4,FALSE),"")</f>
        <v/>
      </c>
      <c r="S267" s="19"/>
      <c r="T267" s="19"/>
      <c r="U267" s="19"/>
      <c r="V267" s="19"/>
      <c r="W267" s="19"/>
      <c r="X267" s="19"/>
    </row>
    <row r="268" spans="1:24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 t="str">
        <f>IFERROR(VLOOKUP($K268,Parameters!$A$5:$D$101,3,FALSE),"")</f>
        <v/>
      </c>
      <c r="R268" s="19" t="str">
        <f>IFERROR(VLOOKUP($K268,Parameters!$A$5:$D$101,4,FALSE),"")</f>
        <v/>
      </c>
      <c r="S268" s="19"/>
      <c r="T268" s="19"/>
      <c r="U268" s="19"/>
      <c r="V268" s="19"/>
      <c r="W268" s="19"/>
      <c r="X268" s="19"/>
    </row>
    <row r="269" spans="1:24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 t="str">
        <f>IFERROR(VLOOKUP($K269,Parameters!$A$5:$D$101,3,FALSE),"")</f>
        <v/>
      </c>
      <c r="R269" s="19" t="str">
        <f>IFERROR(VLOOKUP($K269,Parameters!$A$5:$D$101,4,FALSE),"")</f>
        <v/>
      </c>
      <c r="S269" s="19"/>
      <c r="T269" s="19"/>
      <c r="U269" s="19"/>
      <c r="V269" s="19"/>
      <c r="W269" s="19"/>
      <c r="X269" s="19"/>
    </row>
    <row r="270" spans="1:24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 t="str">
        <f>IFERROR(VLOOKUP($K270,Parameters!$A$5:$D$101,3,FALSE),"")</f>
        <v/>
      </c>
      <c r="R270" s="19" t="str">
        <f>IFERROR(VLOOKUP($K270,Parameters!$A$5:$D$101,4,FALSE),"")</f>
        <v/>
      </c>
      <c r="S270" s="19"/>
      <c r="T270" s="19"/>
      <c r="U270" s="19"/>
      <c r="V270" s="19"/>
      <c r="W270" s="19"/>
      <c r="X270" s="19"/>
    </row>
    <row r="271" spans="1:24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 t="str">
        <f>IFERROR(VLOOKUP($K271,Parameters!$A$5:$D$101,3,FALSE),"")</f>
        <v/>
      </c>
      <c r="R271" s="19" t="str">
        <f>IFERROR(VLOOKUP($K271,Parameters!$A$5:$D$101,4,FALSE),"")</f>
        <v/>
      </c>
      <c r="S271" s="19"/>
      <c r="T271" s="19"/>
      <c r="U271" s="19"/>
      <c r="V271" s="19"/>
      <c r="W271" s="19"/>
      <c r="X271" s="19"/>
    </row>
    <row r="272" spans="1:24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 t="str">
        <f>IFERROR(VLOOKUP($K272,Parameters!$A$5:$D$101,3,FALSE),"")</f>
        <v/>
      </c>
      <c r="R272" s="19" t="str">
        <f>IFERROR(VLOOKUP($K272,Parameters!$A$5:$D$101,4,FALSE),"")</f>
        <v/>
      </c>
      <c r="S272" s="19"/>
      <c r="T272" s="19"/>
      <c r="U272" s="19"/>
      <c r="V272" s="19"/>
      <c r="W272" s="19"/>
      <c r="X272" s="19"/>
    </row>
    <row r="273" spans="1:24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 t="str">
        <f>IFERROR(VLOOKUP($K273,Parameters!$A$5:$D$101,3,FALSE),"")</f>
        <v/>
      </c>
      <c r="R273" s="19" t="str">
        <f>IFERROR(VLOOKUP($K273,Parameters!$A$5:$D$101,4,FALSE),"")</f>
        <v/>
      </c>
      <c r="S273" s="19"/>
      <c r="T273" s="19"/>
      <c r="U273" s="19"/>
      <c r="V273" s="19"/>
      <c r="W273" s="19"/>
      <c r="X273" s="19"/>
    </row>
    <row r="274" spans="1:2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 t="str">
        <f>IFERROR(VLOOKUP($K274,Parameters!$A$5:$D$101,3,FALSE),"")</f>
        <v/>
      </c>
      <c r="R274" s="19" t="str">
        <f>IFERROR(VLOOKUP($K274,Parameters!$A$5:$D$101,4,FALSE),"")</f>
        <v/>
      </c>
      <c r="S274" s="19"/>
      <c r="T274" s="19"/>
      <c r="U274" s="19"/>
      <c r="V274" s="19"/>
      <c r="W274" s="19"/>
      <c r="X274" s="19"/>
    </row>
    <row r="275" spans="1:24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 t="str">
        <f>IFERROR(VLOOKUP($K275,Parameters!$A$5:$D$101,3,FALSE),"")</f>
        <v/>
      </c>
      <c r="R275" s="19" t="str">
        <f>IFERROR(VLOOKUP($K275,Parameters!$A$5:$D$101,4,FALSE),"")</f>
        <v/>
      </c>
      <c r="S275" s="19"/>
      <c r="T275" s="19"/>
      <c r="U275" s="19"/>
      <c r="V275" s="19"/>
      <c r="W275" s="19"/>
      <c r="X275" s="19"/>
    </row>
    <row r="276" spans="1:24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 t="str">
        <f>IFERROR(VLOOKUP($K276,Parameters!$A$5:$D$101,3,FALSE),"")</f>
        <v/>
      </c>
      <c r="R276" s="19" t="str">
        <f>IFERROR(VLOOKUP($K276,Parameters!$A$5:$D$101,4,FALSE),"")</f>
        <v/>
      </c>
      <c r="S276" s="19"/>
      <c r="T276" s="19"/>
      <c r="U276" s="19"/>
      <c r="V276" s="19"/>
      <c r="W276" s="19"/>
      <c r="X276" s="19"/>
    </row>
    <row r="277" spans="1:24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 t="str">
        <f>IFERROR(VLOOKUP($K277,Parameters!$A$5:$D$101,3,FALSE),"")</f>
        <v/>
      </c>
      <c r="R277" s="19" t="str">
        <f>IFERROR(VLOOKUP($K277,Parameters!$A$5:$D$101,4,FALSE),"")</f>
        <v/>
      </c>
      <c r="S277" s="19"/>
      <c r="T277" s="19"/>
      <c r="U277" s="19"/>
      <c r="V277" s="19"/>
      <c r="W277" s="19"/>
      <c r="X277" s="19"/>
    </row>
    <row r="278" spans="1:24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 t="str">
        <f>IFERROR(VLOOKUP($K278,Parameters!$A$5:$D$101,3,FALSE),"")</f>
        <v/>
      </c>
      <c r="R278" s="19" t="str">
        <f>IFERROR(VLOOKUP($K278,Parameters!$A$5:$D$101,4,FALSE),"")</f>
        <v/>
      </c>
      <c r="S278" s="19"/>
      <c r="T278" s="19"/>
      <c r="U278" s="19"/>
      <c r="V278" s="19"/>
      <c r="W278" s="19"/>
      <c r="X278" s="19"/>
    </row>
    <row r="279" spans="1:24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 t="str">
        <f>IFERROR(VLOOKUP($K279,Parameters!$A$5:$D$101,3,FALSE),"")</f>
        <v/>
      </c>
      <c r="R279" s="19" t="str">
        <f>IFERROR(VLOOKUP($K279,Parameters!$A$5:$D$101,4,FALSE),"")</f>
        <v/>
      </c>
      <c r="S279" s="19"/>
      <c r="T279" s="19"/>
      <c r="U279" s="19"/>
      <c r="V279" s="19"/>
      <c r="W279" s="19"/>
      <c r="X279" s="19"/>
    </row>
    <row r="280" spans="1:24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 t="str">
        <f>IFERROR(VLOOKUP($K280,Parameters!$A$5:$D$101,3,FALSE),"")</f>
        <v/>
      </c>
      <c r="R280" s="19" t="str">
        <f>IFERROR(VLOOKUP($K280,Parameters!$A$5:$D$101,4,FALSE),"")</f>
        <v/>
      </c>
      <c r="S280" s="19"/>
      <c r="T280" s="19"/>
      <c r="U280" s="19"/>
      <c r="V280" s="19"/>
      <c r="W280" s="19"/>
      <c r="X280" s="19"/>
    </row>
    <row r="281" spans="1:24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 t="str">
        <f>IFERROR(VLOOKUP($K281,Parameters!$A$5:$D$101,3,FALSE),"")</f>
        <v/>
      </c>
      <c r="R281" s="19" t="str">
        <f>IFERROR(VLOOKUP($K281,Parameters!$A$5:$D$101,4,FALSE),"")</f>
        <v/>
      </c>
      <c r="S281" s="19"/>
      <c r="T281" s="19"/>
      <c r="U281" s="19"/>
      <c r="V281" s="19"/>
      <c r="W281" s="19"/>
      <c r="X281" s="19"/>
    </row>
    <row r="282" spans="1:24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 t="str">
        <f>IFERROR(VLOOKUP($K282,Parameters!$A$5:$D$101,3,FALSE),"")</f>
        <v/>
      </c>
      <c r="R282" s="19" t="str">
        <f>IFERROR(VLOOKUP($K282,Parameters!$A$5:$D$101,4,FALSE),"")</f>
        <v/>
      </c>
      <c r="S282" s="19"/>
      <c r="T282" s="19"/>
      <c r="U282" s="19"/>
      <c r="V282" s="19"/>
      <c r="W282" s="19"/>
      <c r="X282" s="19"/>
    </row>
    <row r="283" spans="1:24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 t="str">
        <f>IFERROR(VLOOKUP($K283,Parameters!$A$5:$D$101,3,FALSE),"")</f>
        <v/>
      </c>
      <c r="R283" s="19" t="str">
        <f>IFERROR(VLOOKUP($K283,Parameters!$A$5:$D$101,4,FALSE),"")</f>
        <v/>
      </c>
      <c r="S283" s="19"/>
      <c r="T283" s="19"/>
      <c r="U283" s="19"/>
      <c r="V283" s="19"/>
      <c r="W283" s="19"/>
      <c r="X283" s="19"/>
    </row>
    <row r="284" spans="1:2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 t="str">
        <f>IFERROR(VLOOKUP($K284,Parameters!$A$5:$D$101,3,FALSE),"")</f>
        <v/>
      </c>
      <c r="R284" s="19" t="str">
        <f>IFERROR(VLOOKUP($K284,Parameters!$A$5:$D$101,4,FALSE),"")</f>
        <v/>
      </c>
      <c r="S284" s="19"/>
      <c r="T284" s="19"/>
      <c r="U284" s="19"/>
      <c r="V284" s="19"/>
      <c r="W284" s="19"/>
      <c r="X284" s="19"/>
    </row>
    <row r="285" spans="1:24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 t="str">
        <f>IFERROR(VLOOKUP($K285,Parameters!$A$5:$D$101,3,FALSE),"")</f>
        <v/>
      </c>
      <c r="R285" s="19" t="str">
        <f>IFERROR(VLOOKUP($K285,Parameters!$A$5:$D$101,4,FALSE),"")</f>
        <v/>
      </c>
      <c r="S285" s="19"/>
      <c r="T285" s="19"/>
      <c r="U285" s="19"/>
      <c r="V285" s="19"/>
      <c r="W285" s="19"/>
      <c r="X285" s="19"/>
    </row>
    <row r="286" spans="1:24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 t="str">
        <f>IFERROR(VLOOKUP($K286,Parameters!$A$5:$D$101,3,FALSE),"")</f>
        <v/>
      </c>
      <c r="R286" s="19" t="str">
        <f>IFERROR(VLOOKUP($K286,Parameters!$A$5:$D$101,4,FALSE),"")</f>
        <v/>
      </c>
      <c r="S286" s="19"/>
      <c r="T286" s="19"/>
      <c r="U286" s="19"/>
      <c r="V286" s="19"/>
      <c r="W286" s="19"/>
      <c r="X286" s="19"/>
    </row>
    <row r="287" spans="1:24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 t="str">
        <f>IFERROR(VLOOKUP($K287,Parameters!$A$5:$D$101,3,FALSE),"")</f>
        <v/>
      </c>
      <c r="R287" s="19" t="str">
        <f>IFERROR(VLOOKUP($K287,Parameters!$A$5:$D$101,4,FALSE),"")</f>
        <v/>
      </c>
      <c r="S287" s="19"/>
      <c r="T287" s="19"/>
      <c r="U287" s="19"/>
      <c r="V287" s="19"/>
      <c r="W287" s="19"/>
      <c r="X287" s="19"/>
    </row>
    <row r="288" spans="1:24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 t="str">
        <f>IFERROR(VLOOKUP($K288,Parameters!$A$5:$D$101,3,FALSE),"")</f>
        <v/>
      </c>
      <c r="R288" s="19" t="str">
        <f>IFERROR(VLOOKUP($K288,Parameters!$A$5:$D$101,4,FALSE),"")</f>
        <v/>
      </c>
      <c r="S288" s="19"/>
      <c r="T288" s="19"/>
      <c r="U288" s="19"/>
      <c r="V288" s="19"/>
      <c r="W288" s="19"/>
      <c r="X288" s="19"/>
    </row>
    <row r="289" spans="1:24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 t="str">
        <f>IFERROR(VLOOKUP($K289,Parameters!$A$5:$D$101,3,FALSE),"")</f>
        <v/>
      </c>
      <c r="R289" s="19" t="str">
        <f>IFERROR(VLOOKUP($K289,Parameters!$A$5:$D$101,4,FALSE),"")</f>
        <v/>
      </c>
      <c r="S289" s="19"/>
      <c r="T289" s="19"/>
      <c r="U289" s="19"/>
      <c r="V289" s="19"/>
      <c r="W289" s="19"/>
      <c r="X289" s="19"/>
    </row>
    <row r="290" spans="1:24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 t="str">
        <f>IFERROR(VLOOKUP($K290,Parameters!$A$5:$D$101,3,FALSE),"")</f>
        <v/>
      </c>
      <c r="R290" s="19" t="str">
        <f>IFERROR(VLOOKUP($K290,Parameters!$A$5:$D$101,4,FALSE),"")</f>
        <v/>
      </c>
      <c r="S290" s="19"/>
      <c r="T290" s="19"/>
      <c r="U290" s="19"/>
      <c r="V290" s="19"/>
      <c r="W290" s="19"/>
      <c r="X290" s="19"/>
    </row>
    <row r="291" spans="1:24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 t="str">
        <f>IFERROR(VLOOKUP($K291,Parameters!$A$5:$D$101,3,FALSE),"")</f>
        <v/>
      </c>
      <c r="R291" s="19" t="str">
        <f>IFERROR(VLOOKUP($K291,Parameters!$A$5:$D$101,4,FALSE),"")</f>
        <v/>
      </c>
      <c r="S291" s="19"/>
      <c r="T291" s="19"/>
      <c r="U291" s="19"/>
      <c r="V291" s="19"/>
      <c r="W291" s="19"/>
      <c r="X291" s="19"/>
    </row>
    <row r="292" spans="1:24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 t="str">
        <f>IFERROR(VLOOKUP($K292,Parameters!$A$5:$D$101,3,FALSE),"")</f>
        <v/>
      </c>
      <c r="R292" s="19" t="str">
        <f>IFERROR(VLOOKUP($K292,Parameters!$A$5:$D$101,4,FALSE),"")</f>
        <v/>
      </c>
      <c r="S292" s="19"/>
      <c r="T292" s="19"/>
      <c r="U292" s="19"/>
      <c r="V292" s="19"/>
      <c r="W292" s="19"/>
      <c r="X292" s="19"/>
    </row>
    <row r="293" spans="1:24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 t="str">
        <f>IFERROR(VLOOKUP($K293,Parameters!$A$5:$D$101,3,FALSE),"")</f>
        <v/>
      </c>
      <c r="R293" s="19" t="str">
        <f>IFERROR(VLOOKUP($K293,Parameters!$A$5:$D$101,4,FALSE),"")</f>
        <v/>
      </c>
      <c r="S293" s="19"/>
      <c r="T293" s="19"/>
      <c r="U293" s="19"/>
      <c r="V293" s="19"/>
      <c r="W293" s="19"/>
      <c r="X293" s="19"/>
    </row>
    <row r="294" spans="1:2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 t="str">
        <f>IFERROR(VLOOKUP($K294,Parameters!$A$5:$D$101,3,FALSE),"")</f>
        <v/>
      </c>
      <c r="R294" s="19" t="str">
        <f>IFERROR(VLOOKUP($K294,Parameters!$A$5:$D$101,4,FALSE),"")</f>
        <v/>
      </c>
      <c r="S294" s="19"/>
      <c r="T294" s="19"/>
      <c r="U294" s="19"/>
      <c r="V294" s="19"/>
      <c r="W294" s="19"/>
      <c r="X294" s="19"/>
    </row>
    <row r="295" spans="1:24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 t="str">
        <f>IFERROR(VLOOKUP($K295,Parameters!$A$5:$D$101,3,FALSE),"")</f>
        <v/>
      </c>
      <c r="R295" s="19" t="str">
        <f>IFERROR(VLOOKUP($K295,Parameters!$A$5:$D$101,4,FALSE),"")</f>
        <v/>
      </c>
      <c r="S295" s="19"/>
      <c r="T295" s="19"/>
      <c r="U295" s="19"/>
      <c r="V295" s="19"/>
      <c r="W295" s="19"/>
      <c r="X295" s="19"/>
    </row>
    <row r="296" spans="1:24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 t="str">
        <f>IFERROR(VLOOKUP($K296,Parameters!$A$5:$D$101,3,FALSE),"")</f>
        <v/>
      </c>
      <c r="R296" s="19" t="str">
        <f>IFERROR(VLOOKUP($K296,Parameters!$A$5:$D$101,4,FALSE),"")</f>
        <v/>
      </c>
      <c r="S296" s="19"/>
      <c r="T296" s="19"/>
      <c r="U296" s="19"/>
      <c r="V296" s="19"/>
      <c r="W296" s="19"/>
      <c r="X296" s="19"/>
    </row>
    <row r="297" spans="1:24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 t="str">
        <f>IFERROR(VLOOKUP($K297,Parameters!$A$5:$D$101,3,FALSE),"")</f>
        <v/>
      </c>
      <c r="R297" s="19" t="str">
        <f>IFERROR(VLOOKUP($K297,Parameters!$A$5:$D$101,4,FALSE),"")</f>
        <v/>
      </c>
      <c r="S297" s="19"/>
      <c r="T297" s="19"/>
      <c r="U297" s="19"/>
      <c r="V297" s="19"/>
      <c r="W297" s="19"/>
      <c r="X297" s="19"/>
    </row>
    <row r="298" spans="1:24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 t="str">
        <f>IFERROR(VLOOKUP($K298,Parameters!$A$5:$D$101,3,FALSE),"")</f>
        <v/>
      </c>
      <c r="R298" s="19" t="str">
        <f>IFERROR(VLOOKUP($K298,Parameters!$A$5:$D$101,4,FALSE),"")</f>
        <v/>
      </c>
      <c r="S298" s="19"/>
      <c r="T298" s="19"/>
      <c r="U298" s="19"/>
      <c r="V298" s="19"/>
      <c r="W298" s="19"/>
      <c r="X298" s="19"/>
    </row>
    <row r="299" spans="1:24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 t="str">
        <f>IFERROR(VLOOKUP($K299,Parameters!$A$5:$D$101,3,FALSE),"")</f>
        <v/>
      </c>
      <c r="R299" s="19" t="str">
        <f>IFERROR(VLOOKUP($K299,Parameters!$A$5:$D$101,4,FALSE),"")</f>
        <v/>
      </c>
      <c r="S299" s="19"/>
      <c r="T299" s="19"/>
      <c r="U299" s="19"/>
      <c r="V299" s="19"/>
      <c r="W299" s="19"/>
      <c r="X299" s="19"/>
    </row>
    <row r="300" spans="1:24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 t="str">
        <f>IFERROR(VLOOKUP($K300,Parameters!$A$5:$D$101,3,FALSE),"")</f>
        <v/>
      </c>
      <c r="R300" s="19" t="str">
        <f>IFERROR(VLOOKUP($K300,Parameters!$A$5:$D$101,4,FALSE),"")</f>
        <v/>
      </c>
      <c r="S300" s="19"/>
      <c r="T300" s="19"/>
      <c r="U300" s="19"/>
      <c r="V300" s="19"/>
      <c r="W300" s="19"/>
      <c r="X300" s="19"/>
    </row>
    <row r="301" spans="1:24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 t="str">
        <f>IFERROR(VLOOKUP($K301,Parameters!$A$5:$D$101,3,FALSE),"")</f>
        <v/>
      </c>
      <c r="R301" s="19" t="str">
        <f>IFERROR(VLOOKUP($K301,Parameters!$A$5:$D$101,4,FALSE),"")</f>
        <v/>
      </c>
      <c r="S301" s="19"/>
      <c r="T301" s="19"/>
      <c r="U301" s="19"/>
      <c r="V301" s="19"/>
      <c r="W301" s="19"/>
      <c r="X301" s="19"/>
    </row>
    <row r="302" spans="1:24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 t="str">
        <f>IFERROR(VLOOKUP($K302,Parameters!$A$5:$D$101,3,FALSE),"")</f>
        <v/>
      </c>
      <c r="R302" s="19" t="str">
        <f>IFERROR(VLOOKUP($K302,Parameters!$A$5:$D$101,4,FALSE),"")</f>
        <v/>
      </c>
      <c r="S302" s="19"/>
      <c r="T302" s="19"/>
      <c r="U302" s="19"/>
      <c r="V302" s="19"/>
      <c r="W302" s="19"/>
      <c r="X302" s="19"/>
    </row>
    <row r="303" spans="1:24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 t="str">
        <f>IFERROR(VLOOKUP($K303,Parameters!$A$5:$D$101,3,FALSE),"")</f>
        <v/>
      </c>
      <c r="R303" s="19" t="str">
        <f>IFERROR(VLOOKUP($K303,Parameters!$A$5:$D$101,4,FALSE),"")</f>
        <v/>
      </c>
      <c r="S303" s="19"/>
      <c r="T303" s="19"/>
      <c r="U303" s="19"/>
      <c r="V303" s="19"/>
      <c r="W303" s="19"/>
      <c r="X303" s="19"/>
    </row>
    <row r="304" spans="1:2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 t="str">
        <f>IFERROR(VLOOKUP($K304,Parameters!$A$5:$D$101,3,FALSE),"")</f>
        <v/>
      </c>
      <c r="R304" s="19" t="str">
        <f>IFERROR(VLOOKUP($K304,Parameters!$A$5:$D$101,4,FALSE),"")</f>
        <v/>
      </c>
      <c r="S304" s="19"/>
      <c r="T304" s="19"/>
      <c r="U304" s="19"/>
      <c r="V304" s="19"/>
      <c r="W304" s="19"/>
      <c r="X304" s="19"/>
    </row>
    <row r="305" spans="1:24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 t="str">
        <f>IFERROR(VLOOKUP($K305,Parameters!$A$5:$D$101,3,FALSE),"")</f>
        <v/>
      </c>
      <c r="R305" s="19" t="str">
        <f>IFERROR(VLOOKUP($K305,Parameters!$A$5:$D$101,4,FALSE),"")</f>
        <v/>
      </c>
      <c r="S305" s="19"/>
      <c r="T305" s="19"/>
      <c r="U305" s="19"/>
      <c r="V305" s="19"/>
      <c r="W305" s="19"/>
      <c r="X305" s="19"/>
    </row>
    <row r="306" spans="1:24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 t="str">
        <f>IFERROR(VLOOKUP($K306,Parameters!$A$5:$D$101,3,FALSE),"")</f>
        <v/>
      </c>
      <c r="R306" s="19" t="str">
        <f>IFERROR(VLOOKUP($K306,Parameters!$A$5:$D$101,4,FALSE),"")</f>
        <v/>
      </c>
      <c r="S306" s="19"/>
      <c r="T306" s="19"/>
      <c r="U306" s="19"/>
      <c r="V306" s="19"/>
      <c r="W306" s="19"/>
      <c r="X306" s="19"/>
    </row>
    <row r="307" spans="1:24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 t="str">
        <f>IFERROR(VLOOKUP($K307,Parameters!$A$5:$D$101,3,FALSE),"")</f>
        <v/>
      </c>
      <c r="R307" s="19" t="str">
        <f>IFERROR(VLOOKUP($K307,Parameters!$A$5:$D$101,4,FALSE),"")</f>
        <v/>
      </c>
      <c r="S307" s="19"/>
      <c r="T307" s="19"/>
      <c r="U307" s="19"/>
      <c r="V307" s="19"/>
      <c r="W307" s="19"/>
      <c r="X307" s="19"/>
    </row>
    <row r="308" spans="1:24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 t="str">
        <f>IFERROR(VLOOKUP($K308,Parameters!$A$5:$D$101,3,FALSE),"")</f>
        <v/>
      </c>
      <c r="R308" s="19" t="str">
        <f>IFERROR(VLOOKUP($K308,Parameters!$A$5:$D$101,4,FALSE),"")</f>
        <v/>
      </c>
      <c r="S308" s="19"/>
      <c r="T308" s="19"/>
      <c r="U308" s="19"/>
      <c r="V308" s="19"/>
      <c r="W308" s="19"/>
      <c r="X308" s="19"/>
    </row>
    <row r="309" spans="1:24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 t="str">
        <f>IFERROR(VLOOKUP($K309,Parameters!$A$5:$D$101,3,FALSE),"")</f>
        <v/>
      </c>
      <c r="R309" s="19" t="str">
        <f>IFERROR(VLOOKUP($K309,Parameters!$A$5:$D$101,4,FALSE),"")</f>
        <v/>
      </c>
      <c r="S309" s="19"/>
      <c r="T309" s="19"/>
      <c r="U309" s="19"/>
      <c r="V309" s="19"/>
      <c r="W309" s="19"/>
      <c r="X309" s="19"/>
    </row>
    <row r="310" spans="1:24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 t="str">
        <f>IFERROR(VLOOKUP($K310,Parameters!$A$5:$D$101,3,FALSE),"")</f>
        <v/>
      </c>
      <c r="R310" s="19" t="str">
        <f>IFERROR(VLOOKUP($K310,Parameters!$A$5:$D$101,4,FALSE),"")</f>
        <v/>
      </c>
      <c r="S310" s="19"/>
      <c r="T310" s="19"/>
      <c r="U310" s="19"/>
      <c r="V310" s="19"/>
      <c r="W310" s="19"/>
      <c r="X310" s="19"/>
    </row>
    <row r="311" spans="1:24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 t="str">
        <f>IFERROR(VLOOKUP($K311,Parameters!$A$5:$D$101,3,FALSE),"")</f>
        <v/>
      </c>
      <c r="R311" s="19" t="str">
        <f>IFERROR(VLOOKUP($K311,Parameters!$A$5:$D$101,4,FALSE),"")</f>
        <v/>
      </c>
      <c r="S311" s="19"/>
      <c r="T311" s="19"/>
      <c r="U311" s="19"/>
      <c r="V311" s="19"/>
      <c r="W311" s="19"/>
      <c r="X311" s="19"/>
    </row>
    <row r="312" spans="1:24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 t="str">
        <f>IFERROR(VLOOKUP($K312,Parameters!$A$5:$D$101,3,FALSE),"")</f>
        <v/>
      </c>
      <c r="R312" s="19" t="str">
        <f>IFERROR(VLOOKUP($K312,Parameters!$A$5:$D$101,4,FALSE),"")</f>
        <v/>
      </c>
      <c r="S312" s="19"/>
      <c r="T312" s="19"/>
      <c r="U312" s="19"/>
      <c r="V312" s="19"/>
      <c r="W312" s="19"/>
      <c r="X312" s="19"/>
    </row>
    <row r="313" spans="1:24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 t="str">
        <f>IFERROR(VLOOKUP($K313,Parameters!$A$5:$D$101,3,FALSE),"")</f>
        <v/>
      </c>
      <c r="R313" s="19" t="str">
        <f>IFERROR(VLOOKUP($K313,Parameters!$A$5:$D$101,4,FALSE),"")</f>
        <v/>
      </c>
      <c r="S313" s="19"/>
      <c r="T313" s="19"/>
      <c r="U313" s="19"/>
      <c r="V313" s="19"/>
      <c r="W313" s="19"/>
      <c r="X313" s="19"/>
    </row>
    <row r="314" spans="1:2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 t="str">
        <f>IFERROR(VLOOKUP($K314,Parameters!$A$5:$D$101,3,FALSE),"")</f>
        <v/>
      </c>
      <c r="R314" s="19" t="str">
        <f>IFERROR(VLOOKUP($K314,Parameters!$A$5:$D$101,4,FALSE),"")</f>
        <v/>
      </c>
      <c r="S314" s="19"/>
      <c r="T314" s="19"/>
      <c r="U314" s="19"/>
      <c r="V314" s="19"/>
      <c r="W314" s="19"/>
      <c r="X314" s="19"/>
    </row>
    <row r="315" spans="1:24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 t="str">
        <f>IFERROR(VLOOKUP($K315,Parameters!$A$5:$D$101,3,FALSE),"")</f>
        <v/>
      </c>
      <c r="R315" s="19" t="str">
        <f>IFERROR(VLOOKUP($K315,Parameters!$A$5:$D$101,4,FALSE),"")</f>
        <v/>
      </c>
      <c r="S315" s="19"/>
      <c r="T315" s="19"/>
      <c r="U315" s="19"/>
      <c r="V315" s="19"/>
      <c r="W315" s="19"/>
      <c r="X315" s="19"/>
    </row>
    <row r="316" spans="1:24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 t="str">
        <f>IFERROR(VLOOKUP($K316,Parameters!$A$5:$D$101,3,FALSE),"")</f>
        <v/>
      </c>
      <c r="R316" s="19" t="str">
        <f>IFERROR(VLOOKUP($K316,Parameters!$A$5:$D$101,4,FALSE),"")</f>
        <v/>
      </c>
      <c r="S316" s="19"/>
      <c r="T316" s="19"/>
      <c r="U316" s="19"/>
      <c r="V316" s="19"/>
      <c r="W316" s="19"/>
      <c r="X316" s="19"/>
    </row>
    <row r="317" spans="1:24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 t="str">
        <f>IFERROR(VLOOKUP($K317,Parameters!$A$5:$D$101,3,FALSE),"")</f>
        <v/>
      </c>
      <c r="R317" s="19" t="str">
        <f>IFERROR(VLOOKUP($K317,Parameters!$A$5:$D$101,4,FALSE),"")</f>
        <v/>
      </c>
      <c r="S317" s="19"/>
      <c r="T317" s="19"/>
      <c r="U317" s="19"/>
      <c r="V317" s="19"/>
      <c r="W317" s="19"/>
      <c r="X317" s="19"/>
    </row>
    <row r="318" spans="1:24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 t="str">
        <f>IFERROR(VLOOKUP($K318,Parameters!$A$5:$D$101,3,FALSE),"")</f>
        <v/>
      </c>
      <c r="R318" s="19" t="str">
        <f>IFERROR(VLOOKUP($K318,Parameters!$A$5:$D$101,4,FALSE),"")</f>
        <v/>
      </c>
      <c r="S318" s="19"/>
      <c r="T318" s="19"/>
      <c r="U318" s="19"/>
      <c r="V318" s="19"/>
      <c r="W318" s="19"/>
      <c r="X318" s="19"/>
    </row>
    <row r="319" spans="1:24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 t="str">
        <f>IFERROR(VLOOKUP($K319,Parameters!$A$5:$D$101,3,FALSE),"")</f>
        <v/>
      </c>
      <c r="R319" s="19" t="str">
        <f>IFERROR(VLOOKUP($K319,Parameters!$A$5:$D$101,4,FALSE),"")</f>
        <v/>
      </c>
      <c r="S319" s="19"/>
      <c r="T319" s="19"/>
      <c r="U319" s="19"/>
      <c r="V319" s="19"/>
      <c r="W319" s="19"/>
      <c r="X319" s="19"/>
    </row>
    <row r="320" spans="1:24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 t="str">
        <f>IFERROR(VLOOKUP($K320,Parameters!$A$5:$D$101,3,FALSE),"")</f>
        <v/>
      </c>
      <c r="R320" s="19" t="str">
        <f>IFERROR(VLOOKUP($K320,Parameters!$A$5:$D$101,4,FALSE),"")</f>
        <v/>
      </c>
      <c r="S320" s="19"/>
      <c r="T320" s="19"/>
      <c r="U320" s="19"/>
      <c r="V320" s="19"/>
      <c r="W320" s="19"/>
      <c r="X320" s="19"/>
    </row>
    <row r="321" spans="1:24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 t="str">
        <f>IFERROR(VLOOKUP($K321,Parameters!$A$5:$D$101,3,FALSE),"")</f>
        <v/>
      </c>
      <c r="R321" s="19" t="str">
        <f>IFERROR(VLOOKUP($K321,Parameters!$A$5:$D$101,4,FALSE),"")</f>
        <v/>
      </c>
      <c r="S321" s="19"/>
      <c r="T321" s="19"/>
      <c r="U321" s="19"/>
      <c r="V321" s="19"/>
      <c r="W321" s="19"/>
      <c r="X321" s="19"/>
    </row>
    <row r="322" spans="1:24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 t="str">
        <f>IFERROR(VLOOKUP($K322,Parameters!$A$5:$D$101,3,FALSE),"")</f>
        <v/>
      </c>
      <c r="R322" s="19" t="str">
        <f>IFERROR(VLOOKUP($K322,Parameters!$A$5:$D$101,4,FALSE),"")</f>
        <v/>
      </c>
      <c r="S322" s="19"/>
      <c r="T322" s="19"/>
      <c r="U322" s="19"/>
      <c r="V322" s="19"/>
      <c r="W322" s="19"/>
      <c r="X322" s="19"/>
    </row>
    <row r="323" spans="1:24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 t="str">
        <f>IFERROR(VLOOKUP($K323,Parameters!$A$5:$D$101,3,FALSE),"")</f>
        <v/>
      </c>
      <c r="R323" s="19" t="str">
        <f>IFERROR(VLOOKUP($K323,Parameters!$A$5:$D$101,4,FALSE),"")</f>
        <v/>
      </c>
      <c r="S323" s="19"/>
      <c r="T323" s="19"/>
      <c r="U323" s="19"/>
      <c r="V323" s="19"/>
      <c r="W323" s="19"/>
      <c r="X323" s="19"/>
    </row>
    <row r="324" spans="1: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 t="str">
        <f>IFERROR(VLOOKUP($K324,Parameters!$A$5:$D$101,3,FALSE),"")</f>
        <v/>
      </c>
      <c r="R324" s="19" t="str">
        <f>IFERROR(VLOOKUP($K324,Parameters!$A$5:$D$101,4,FALSE),"")</f>
        <v/>
      </c>
      <c r="S324" s="19"/>
      <c r="T324" s="19"/>
      <c r="U324" s="19"/>
      <c r="V324" s="19"/>
      <c r="W324" s="19"/>
      <c r="X324" s="19"/>
    </row>
    <row r="325" spans="1:24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 t="str">
        <f>IFERROR(VLOOKUP($K325,Parameters!$A$5:$D$101,3,FALSE),"")</f>
        <v/>
      </c>
      <c r="R325" s="19" t="str">
        <f>IFERROR(VLOOKUP($K325,Parameters!$A$5:$D$101,4,FALSE),"")</f>
        <v/>
      </c>
      <c r="S325" s="19"/>
      <c r="T325" s="19"/>
      <c r="U325" s="19"/>
      <c r="V325" s="19"/>
      <c r="W325" s="19"/>
      <c r="X325" s="19"/>
    </row>
    <row r="326" spans="1:24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 t="str">
        <f>IFERROR(VLOOKUP($K326,Parameters!$A$5:$D$101,3,FALSE),"")</f>
        <v/>
      </c>
      <c r="R326" s="19" t="str">
        <f>IFERROR(VLOOKUP($K326,Parameters!$A$5:$D$101,4,FALSE),"")</f>
        <v/>
      </c>
      <c r="S326" s="19"/>
      <c r="T326" s="19"/>
      <c r="U326" s="19"/>
      <c r="V326" s="19"/>
      <c r="W326" s="19"/>
      <c r="X326" s="19"/>
    </row>
    <row r="327" spans="1:24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 t="str">
        <f>IFERROR(VLOOKUP($K327,Parameters!$A$5:$D$101,3,FALSE),"")</f>
        <v/>
      </c>
      <c r="R327" s="19" t="str">
        <f>IFERROR(VLOOKUP($K327,Parameters!$A$5:$D$101,4,FALSE),"")</f>
        <v/>
      </c>
      <c r="S327" s="19"/>
      <c r="T327" s="19"/>
      <c r="U327" s="19"/>
      <c r="V327" s="19"/>
      <c r="W327" s="19"/>
      <c r="X327" s="19"/>
    </row>
    <row r="328" spans="1:24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 t="str">
        <f>IFERROR(VLOOKUP($K328,Parameters!$A$5:$D$101,3,FALSE),"")</f>
        <v/>
      </c>
      <c r="R328" s="19" t="str">
        <f>IFERROR(VLOOKUP($K328,Parameters!$A$5:$D$101,4,FALSE),"")</f>
        <v/>
      </c>
      <c r="S328" s="19"/>
      <c r="T328" s="19"/>
      <c r="U328" s="19"/>
      <c r="V328" s="19"/>
      <c r="W328" s="19"/>
      <c r="X328" s="19"/>
    </row>
    <row r="329" spans="1:24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 t="str">
        <f>IFERROR(VLOOKUP($K329,Parameters!$A$5:$D$101,3,FALSE),"")</f>
        <v/>
      </c>
      <c r="R329" s="19" t="str">
        <f>IFERROR(VLOOKUP($K329,Parameters!$A$5:$D$101,4,FALSE),"")</f>
        <v/>
      </c>
      <c r="S329" s="19"/>
      <c r="T329" s="19"/>
      <c r="U329" s="19"/>
      <c r="V329" s="19"/>
      <c r="W329" s="19"/>
      <c r="X329" s="19"/>
    </row>
    <row r="330" spans="1:24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 t="str">
        <f>IFERROR(VLOOKUP($K330,Parameters!$A$5:$D$101,3,FALSE),"")</f>
        <v/>
      </c>
      <c r="R330" s="19" t="str">
        <f>IFERROR(VLOOKUP($K330,Parameters!$A$5:$D$101,4,FALSE),"")</f>
        <v/>
      </c>
      <c r="S330" s="19"/>
      <c r="T330" s="19"/>
      <c r="U330" s="19"/>
      <c r="V330" s="19"/>
      <c r="W330" s="19"/>
      <c r="X330" s="19"/>
    </row>
    <row r="331" spans="1:24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 t="str">
        <f>IFERROR(VLOOKUP($K331,Parameters!$A$5:$D$101,3,FALSE),"")</f>
        <v/>
      </c>
      <c r="R331" s="19" t="str">
        <f>IFERROR(VLOOKUP($K331,Parameters!$A$5:$D$101,4,FALSE),"")</f>
        <v/>
      </c>
      <c r="S331" s="19"/>
      <c r="T331" s="19"/>
      <c r="U331" s="19"/>
      <c r="V331" s="19"/>
      <c r="W331" s="19"/>
      <c r="X331" s="19"/>
    </row>
    <row r="332" spans="1:24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 t="str">
        <f>IFERROR(VLOOKUP($K332,Parameters!$A$5:$D$101,3,FALSE),"")</f>
        <v/>
      </c>
      <c r="R332" s="19" t="str">
        <f>IFERROR(VLOOKUP($K332,Parameters!$A$5:$D$101,4,FALSE),"")</f>
        <v/>
      </c>
      <c r="S332" s="19"/>
      <c r="T332" s="19"/>
      <c r="U332" s="19"/>
      <c r="V332" s="19"/>
      <c r="W332" s="19"/>
      <c r="X332" s="19"/>
    </row>
    <row r="333" spans="1:24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 t="str">
        <f>IFERROR(VLOOKUP($K333,Parameters!$A$5:$D$101,3,FALSE),"")</f>
        <v/>
      </c>
      <c r="R333" s="19" t="str">
        <f>IFERROR(VLOOKUP($K333,Parameters!$A$5:$D$101,4,FALSE),"")</f>
        <v/>
      </c>
      <c r="S333" s="19"/>
      <c r="T333" s="19"/>
      <c r="U333" s="19"/>
      <c r="V333" s="19"/>
      <c r="W333" s="19"/>
      <c r="X333" s="19"/>
    </row>
    <row r="334" spans="1:2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 t="str">
        <f>IFERROR(VLOOKUP($K334,Parameters!$A$5:$D$101,3,FALSE),"")</f>
        <v/>
      </c>
      <c r="R334" s="19" t="str">
        <f>IFERROR(VLOOKUP($K334,Parameters!$A$5:$D$101,4,FALSE),"")</f>
        <v/>
      </c>
      <c r="S334" s="19"/>
      <c r="T334" s="19"/>
      <c r="U334" s="19"/>
      <c r="V334" s="19"/>
      <c r="W334" s="19"/>
      <c r="X334" s="19"/>
    </row>
    <row r="335" spans="1:24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 t="str">
        <f>IFERROR(VLOOKUP($K335,Parameters!$A$5:$D$101,3,FALSE),"")</f>
        <v/>
      </c>
      <c r="R335" s="19" t="str">
        <f>IFERROR(VLOOKUP($K335,Parameters!$A$5:$D$101,4,FALSE),"")</f>
        <v/>
      </c>
      <c r="S335" s="19"/>
      <c r="T335" s="19"/>
      <c r="U335" s="19"/>
      <c r="V335" s="19"/>
      <c r="W335" s="19"/>
      <c r="X335" s="19"/>
    </row>
    <row r="336" spans="1:24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 t="str">
        <f>IFERROR(VLOOKUP($K336,Parameters!$A$5:$D$101,3,FALSE),"")</f>
        <v/>
      </c>
      <c r="R336" s="19" t="str">
        <f>IFERROR(VLOOKUP($K336,Parameters!$A$5:$D$101,4,FALSE),"")</f>
        <v/>
      </c>
      <c r="S336" s="19"/>
      <c r="T336" s="19"/>
      <c r="U336" s="19"/>
      <c r="V336" s="19"/>
      <c r="W336" s="19"/>
      <c r="X336" s="19"/>
    </row>
    <row r="337" spans="1:24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 t="str">
        <f>IFERROR(VLOOKUP($K337,Parameters!$A$5:$D$101,3,FALSE),"")</f>
        <v/>
      </c>
      <c r="R337" s="19" t="str">
        <f>IFERROR(VLOOKUP($K337,Parameters!$A$5:$D$101,4,FALSE),"")</f>
        <v/>
      </c>
      <c r="S337" s="19"/>
      <c r="T337" s="19"/>
      <c r="U337" s="19"/>
      <c r="V337" s="19"/>
      <c r="W337" s="19"/>
      <c r="X337" s="19"/>
    </row>
    <row r="338" spans="1:24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 t="str">
        <f>IFERROR(VLOOKUP($K338,Parameters!$A$5:$D$101,3,FALSE),"")</f>
        <v/>
      </c>
      <c r="R338" s="19" t="str">
        <f>IFERROR(VLOOKUP($K338,Parameters!$A$5:$D$101,4,FALSE),"")</f>
        <v/>
      </c>
      <c r="S338" s="19"/>
      <c r="T338" s="19"/>
      <c r="U338" s="19"/>
      <c r="V338" s="19"/>
      <c r="W338" s="19"/>
      <c r="X338" s="19"/>
    </row>
    <row r="339" spans="1:24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 t="str">
        <f>IFERROR(VLOOKUP($K339,Parameters!$A$5:$D$101,3,FALSE),"")</f>
        <v/>
      </c>
      <c r="R339" s="19" t="str">
        <f>IFERROR(VLOOKUP($K339,Parameters!$A$5:$D$101,4,FALSE),"")</f>
        <v/>
      </c>
      <c r="S339" s="19"/>
      <c r="T339" s="19"/>
      <c r="U339" s="19"/>
      <c r="V339" s="19"/>
      <c r="W339" s="19"/>
      <c r="X339" s="19"/>
    </row>
    <row r="340" spans="1:24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 t="str">
        <f>IFERROR(VLOOKUP($K340,Parameters!$A$5:$D$101,3,FALSE),"")</f>
        <v/>
      </c>
      <c r="R340" s="19" t="str">
        <f>IFERROR(VLOOKUP($K340,Parameters!$A$5:$D$101,4,FALSE),"")</f>
        <v/>
      </c>
      <c r="S340" s="19"/>
      <c r="T340" s="19"/>
      <c r="U340" s="19"/>
      <c r="V340" s="19"/>
      <c r="W340" s="19"/>
      <c r="X340" s="19"/>
    </row>
    <row r="341" spans="1:24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 t="str">
        <f>IFERROR(VLOOKUP($K341,Parameters!$A$5:$D$101,3,FALSE),"")</f>
        <v/>
      </c>
      <c r="R341" s="19" t="str">
        <f>IFERROR(VLOOKUP($K341,Parameters!$A$5:$D$101,4,FALSE),"")</f>
        <v/>
      </c>
      <c r="S341" s="19"/>
      <c r="T341" s="19"/>
      <c r="U341" s="19"/>
      <c r="V341" s="19"/>
      <c r="W341" s="19"/>
      <c r="X341" s="19"/>
    </row>
    <row r="342" spans="1:24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 t="str">
        <f>IFERROR(VLOOKUP($K342,Parameters!$A$5:$D$101,3,FALSE),"")</f>
        <v/>
      </c>
      <c r="R342" s="19" t="str">
        <f>IFERROR(VLOOKUP($K342,Parameters!$A$5:$D$101,4,FALSE),"")</f>
        <v/>
      </c>
      <c r="S342" s="19"/>
      <c r="T342" s="19"/>
      <c r="U342" s="19"/>
      <c r="V342" s="19"/>
      <c r="W342" s="19"/>
      <c r="X342" s="19"/>
    </row>
    <row r="343" spans="1:24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 t="str">
        <f>IFERROR(VLOOKUP($K343,Parameters!$A$5:$D$101,3,FALSE),"")</f>
        <v/>
      </c>
      <c r="R343" s="19" t="str">
        <f>IFERROR(VLOOKUP($K343,Parameters!$A$5:$D$101,4,FALSE),"")</f>
        <v/>
      </c>
      <c r="S343" s="19"/>
      <c r="T343" s="19"/>
      <c r="U343" s="19"/>
      <c r="V343" s="19"/>
      <c r="W343" s="19"/>
      <c r="X343" s="19"/>
    </row>
    <row r="344" spans="1:2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 t="str">
        <f>IFERROR(VLOOKUP($K344,Parameters!$A$5:$D$101,3,FALSE),"")</f>
        <v/>
      </c>
      <c r="R344" s="19" t="str">
        <f>IFERROR(VLOOKUP($K344,Parameters!$A$5:$D$101,4,FALSE),"")</f>
        <v/>
      </c>
      <c r="S344" s="19"/>
      <c r="T344" s="19"/>
      <c r="U344" s="19"/>
      <c r="V344" s="19"/>
      <c r="W344" s="19"/>
      <c r="X344" s="19"/>
    </row>
    <row r="345" spans="1:24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 t="str">
        <f>IFERROR(VLOOKUP($K345,Parameters!$A$5:$D$101,3,FALSE),"")</f>
        <v/>
      </c>
      <c r="R345" s="19" t="str">
        <f>IFERROR(VLOOKUP($K345,Parameters!$A$5:$D$101,4,FALSE),"")</f>
        <v/>
      </c>
      <c r="S345" s="19"/>
      <c r="T345" s="19"/>
      <c r="U345" s="19"/>
      <c r="V345" s="19"/>
      <c r="W345" s="19"/>
      <c r="X345" s="19"/>
    </row>
    <row r="346" spans="1:24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 t="str">
        <f>IFERROR(VLOOKUP($K346,Parameters!$A$5:$D$101,3,FALSE),"")</f>
        <v/>
      </c>
      <c r="R346" s="19" t="str">
        <f>IFERROR(VLOOKUP($K346,Parameters!$A$5:$D$101,4,FALSE),"")</f>
        <v/>
      </c>
      <c r="S346" s="19"/>
      <c r="T346" s="19"/>
      <c r="U346" s="19"/>
      <c r="V346" s="19"/>
      <c r="W346" s="19"/>
      <c r="X346" s="19"/>
    </row>
    <row r="347" spans="1:24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 t="str">
        <f>IFERROR(VLOOKUP($K347,Parameters!$A$5:$D$101,3,FALSE),"")</f>
        <v/>
      </c>
      <c r="R347" s="19" t="str">
        <f>IFERROR(VLOOKUP($K347,Parameters!$A$5:$D$101,4,FALSE),"")</f>
        <v/>
      </c>
      <c r="S347" s="19"/>
      <c r="T347" s="19"/>
      <c r="U347" s="19"/>
      <c r="V347" s="19"/>
      <c r="W347" s="19"/>
      <c r="X347" s="19"/>
    </row>
    <row r="348" spans="1:24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 t="str">
        <f>IFERROR(VLOOKUP($K348,Parameters!$A$5:$D$101,3,FALSE),"")</f>
        <v/>
      </c>
      <c r="R348" s="19" t="str">
        <f>IFERROR(VLOOKUP($K348,Parameters!$A$5:$D$101,4,FALSE),"")</f>
        <v/>
      </c>
      <c r="S348" s="19"/>
      <c r="T348" s="19"/>
      <c r="U348" s="19"/>
      <c r="V348" s="19"/>
      <c r="W348" s="19"/>
      <c r="X348" s="19"/>
    </row>
    <row r="349" spans="1:24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 t="str">
        <f>IFERROR(VLOOKUP($K349,Parameters!$A$5:$D$101,3,FALSE),"")</f>
        <v/>
      </c>
      <c r="R349" s="19" t="str">
        <f>IFERROR(VLOOKUP($K349,Parameters!$A$5:$D$101,4,FALSE),"")</f>
        <v/>
      </c>
      <c r="S349" s="19"/>
      <c r="T349" s="19"/>
      <c r="U349" s="19"/>
      <c r="V349" s="19"/>
      <c r="W349" s="19"/>
      <c r="X349" s="19"/>
    </row>
    <row r="350" spans="1:24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 t="str">
        <f>IFERROR(VLOOKUP($K350,Parameters!$A$5:$D$101,3,FALSE),"")</f>
        <v/>
      </c>
      <c r="R350" s="19" t="str">
        <f>IFERROR(VLOOKUP($K350,Parameters!$A$5:$D$101,4,FALSE),"")</f>
        <v/>
      </c>
      <c r="S350" s="19"/>
      <c r="T350" s="19"/>
      <c r="U350" s="19"/>
      <c r="V350" s="19"/>
      <c r="W350" s="19"/>
      <c r="X350" s="19"/>
    </row>
    <row r="351" spans="1:24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 t="str">
        <f>IFERROR(VLOOKUP($K351,Parameters!$A$5:$D$101,3,FALSE),"")</f>
        <v/>
      </c>
      <c r="R351" s="19" t="str">
        <f>IFERROR(VLOOKUP($K351,Parameters!$A$5:$D$101,4,FALSE),"")</f>
        <v/>
      </c>
      <c r="S351" s="19"/>
      <c r="T351" s="19"/>
      <c r="U351" s="19"/>
      <c r="V351" s="19"/>
      <c r="W351" s="19"/>
      <c r="X351" s="19"/>
    </row>
    <row r="352" spans="1:24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 t="str">
        <f>IFERROR(VLOOKUP($K352,Parameters!$A$5:$D$101,3,FALSE),"")</f>
        <v/>
      </c>
      <c r="R352" s="19" t="str">
        <f>IFERROR(VLOOKUP($K352,Parameters!$A$5:$D$101,4,FALSE),"")</f>
        <v/>
      </c>
      <c r="S352" s="19"/>
      <c r="T352" s="19"/>
      <c r="U352" s="19"/>
      <c r="V352" s="19"/>
      <c r="W352" s="19"/>
      <c r="X352" s="19"/>
    </row>
    <row r="353" spans="1:24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 t="str">
        <f>IFERROR(VLOOKUP($K353,Parameters!$A$5:$D$101,3,FALSE),"")</f>
        <v/>
      </c>
      <c r="R353" s="19" t="str">
        <f>IFERROR(VLOOKUP($K353,Parameters!$A$5:$D$101,4,FALSE),"")</f>
        <v/>
      </c>
      <c r="S353" s="19"/>
      <c r="T353" s="19"/>
      <c r="U353" s="19"/>
      <c r="V353" s="19"/>
      <c r="W353" s="19"/>
      <c r="X353" s="19"/>
    </row>
    <row r="354" spans="1:2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 t="str">
        <f>IFERROR(VLOOKUP($K354,Parameters!$A$5:$D$101,3,FALSE),"")</f>
        <v/>
      </c>
      <c r="R354" s="19" t="str">
        <f>IFERROR(VLOOKUP($K354,Parameters!$A$5:$D$101,4,FALSE),"")</f>
        <v/>
      </c>
      <c r="S354" s="19"/>
      <c r="T354" s="19"/>
      <c r="U354" s="19"/>
      <c r="V354" s="19"/>
      <c r="W354" s="19"/>
      <c r="X354" s="19"/>
    </row>
    <row r="355" spans="1:24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 t="str">
        <f>IFERROR(VLOOKUP($K355,Parameters!$A$5:$D$101,3,FALSE),"")</f>
        <v/>
      </c>
      <c r="R355" s="19" t="str">
        <f>IFERROR(VLOOKUP($K355,Parameters!$A$5:$D$101,4,FALSE),"")</f>
        <v/>
      </c>
      <c r="S355" s="19"/>
      <c r="T355" s="19"/>
      <c r="U355" s="19"/>
      <c r="V355" s="19"/>
      <c r="W355" s="19"/>
      <c r="X355" s="19"/>
    </row>
    <row r="356" spans="1:24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 t="str">
        <f>IFERROR(VLOOKUP($K356,Parameters!$A$5:$D$101,3,FALSE),"")</f>
        <v/>
      </c>
      <c r="R356" s="19" t="str">
        <f>IFERROR(VLOOKUP($K356,Parameters!$A$5:$D$101,4,FALSE),"")</f>
        <v/>
      </c>
      <c r="S356" s="19"/>
      <c r="T356" s="19"/>
      <c r="U356" s="19"/>
      <c r="V356" s="19"/>
      <c r="W356" s="19"/>
      <c r="X356" s="19"/>
    </row>
    <row r="357" spans="1:24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 t="str">
        <f>IFERROR(VLOOKUP($K357,Parameters!$A$5:$D$101,3,FALSE),"")</f>
        <v/>
      </c>
      <c r="R357" s="19" t="str">
        <f>IFERROR(VLOOKUP($K357,Parameters!$A$5:$D$101,4,FALSE),"")</f>
        <v/>
      </c>
      <c r="S357" s="19"/>
      <c r="T357" s="19"/>
      <c r="U357" s="19"/>
      <c r="V357" s="19"/>
      <c r="W357" s="19"/>
      <c r="X357" s="19"/>
    </row>
    <row r="358" spans="1:24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 t="str">
        <f>IFERROR(VLOOKUP($K358,Parameters!$A$5:$D$101,3,FALSE),"")</f>
        <v/>
      </c>
      <c r="R358" s="19" t="str">
        <f>IFERROR(VLOOKUP($K358,Parameters!$A$5:$D$101,4,FALSE),"")</f>
        <v/>
      </c>
      <c r="S358" s="19"/>
      <c r="T358" s="19"/>
      <c r="U358" s="19"/>
      <c r="V358" s="19"/>
      <c r="W358" s="19"/>
      <c r="X358" s="19"/>
    </row>
    <row r="359" spans="1:24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 t="str">
        <f>IFERROR(VLOOKUP($K359,Parameters!$A$5:$D$101,3,FALSE),"")</f>
        <v/>
      </c>
      <c r="R359" s="19" t="str">
        <f>IFERROR(VLOOKUP($K359,Parameters!$A$5:$D$101,4,FALSE),"")</f>
        <v/>
      </c>
      <c r="S359" s="19"/>
      <c r="T359" s="19"/>
      <c r="U359" s="19"/>
      <c r="V359" s="19"/>
      <c r="W359" s="19"/>
      <c r="X359" s="19"/>
    </row>
    <row r="360" spans="1:24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 t="str">
        <f>IFERROR(VLOOKUP($K360,Parameters!$A$5:$D$101,3,FALSE),"")</f>
        <v/>
      </c>
      <c r="R360" s="19" t="str">
        <f>IFERROR(VLOOKUP($K360,Parameters!$A$5:$D$101,4,FALSE),"")</f>
        <v/>
      </c>
      <c r="S360" s="19"/>
      <c r="T360" s="19"/>
      <c r="U360" s="19"/>
      <c r="V360" s="19"/>
      <c r="W360" s="19"/>
      <c r="X360" s="19"/>
    </row>
    <row r="361" spans="1:24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 t="str">
        <f>IFERROR(VLOOKUP($K361,Parameters!$A$5:$D$101,3,FALSE),"")</f>
        <v/>
      </c>
      <c r="R361" s="19" t="str">
        <f>IFERROR(VLOOKUP($K361,Parameters!$A$5:$D$101,4,FALSE),"")</f>
        <v/>
      </c>
      <c r="S361" s="19"/>
      <c r="T361" s="19"/>
      <c r="U361" s="19"/>
      <c r="V361" s="19"/>
      <c r="W361" s="19"/>
      <c r="X361" s="19"/>
    </row>
    <row r="362" spans="1:24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 t="str">
        <f>IFERROR(VLOOKUP($K362,Parameters!$A$5:$D$101,3,FALSE),"")</f>
        <v/>
      </c>
      <c r="R362" s="19" t="str">
        <f>IFERROR(VLOOKUP($K362,Parameters!$A$5:$D$101,4,FALSE),"")</f>
        <v/>
      </c>
      <c r="S362" s="19"/>
      <c r="T362" s="19"/>
      <c r="U362" s="19"/>
      <c r="V362" s="19"/>
      <c r="W362" s="19"/>
      <c r="X362" s="19"/>
    </row>
    <row r="363" spans="1:24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 t="str">
        <f>IFERROR(VLOOKUP($K363,Parameters!$A$5:$D$101,3,FALSE),"")</f>
        <v/>
      </c>
      <c r="R363" s="19" t="str">
        <f>IFERROR(VLOOKUP($K363,Parameters!$A$5:$D$101,4,FALSE),"")</f>
        <v/>
      </c>
      <c r="S363" s="19"/>
      <c r="T363" s="19"/>
      <c r="U363" s="19"/>
      <c r="V363" s="19"/>
      <c r="W363" s="19"/>
      <c r="X363" s="19"/>
    </row>
    <row r="364" spans="1:2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 t="str">
        <f>IFERROR(VLOOKUP($K364,Parameters!$A$5:$D$101,3,FALSE),"")</f>
        <v/>
      </c>
      <c r="R364" s="19" t="str">
        <f>IFERROR(VLOOKUP($K364,Parameters!$A$5:$D$101,4,FALSE),"")</f>
        <v/>
      </c>
      <c r="S364" s="19"/>
      <c r="T364" s="19"/>
      <c r="U364" s="19"/>
      <c r="V364" s="19"/>
      <c r="W364" s="19"/>
      <c r="X364" s="19"/>
    </row>
    <row r="365" spans="1:24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 t="str">
        <f>IFERROR(VLOOKUP($K365,Parameters!$A$5:$D$101,3,FALSE),"")</f>
        <v/>
      </c>
      <c r="R365" s="19" t="str">
        <f>IFERROR(VLOOKUP($K365,Parameters!$A$5:$D$101,4,FALSE),"")</f>
        <v/>
      </c>
      <c r="S365" s="19"/>
      <c r="T365" s="19"/>
      <c r="U365" s="19"/>
      <c r="V365" s="19"/>
      <c r="W365" s="19"/>
      <c r="X365" s="19"/>
    </row>
    <row r="366" spans="1:24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 t="str">
        <f>IFERROR(VLOOKUP($K366,Parameters!$A$5:$D$101,3,FALSE),"")</f>
        <v/>
      </c>
      <c r="R366" s="19" t="str">
        <f>IFERROR(VLOOKUP($K366,Parameters!$A$5:$D$101,4,FALSE),"")</f>
        <v/>
      </c>
      <c r="S366" s="19"/>
      <c r="T366" s="19"/>
      <c r="U366" s="19"/>
      <c r="V366" s="19"/>
      <c r="W366" s="19"/>
      <c r="X366" s="19"/>
    </row>
    <row r="367" spans="1:24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 t="str">
        <f>IFERROR(VLOOKUP($K367,Parameters!$A$5:$D$101,3,FALSE),"")</f>
        <v/>
      </c>
      <c r="R367" s="19" t="str">
        <f>IFERROR(VLOOKUP($K367,Parameters!$A$5:$D$101,4,FALSE),"")</f>
        <v/>
      </c>
      <c r="S367" s="19"/>
      <c r="T367" s="19"/>
      <c r="U367" s="19"/>
      <c r="V367" s="19"/>
      <c r="W367" s="19"/>
      <c r="X367" s="19"/>
    </row>
    <row r="368" spans="1:24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 t="str">
        <f>IFERROR(VLOOKUP($K368,Parameters!$A$5:$D$101,3,FALSE),"")</f>
        <v/>
      </c>
      <c r="R368" s="19" t="str">
        <f>IFERROR(VLOOKUP($K368,Parameters!$A$5:$D$101,4,FALSE),"")</f>
        <v/>
      </c>
      <c r="S368" s="19"/>
      <c r="T368" s="19"/>
      <c r="U368" s="19"/>
      <c r="V368" s="19"/>
      <c r="W368" s="19"/>
      <c r="X368" s="19"/>
    </row>
    <row r="369" spans="1:24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 t="str">
        <f>IFERROR(VLOOKUP($K369,Parameters!$A$5:$D$101,3,FALSE),"")</f>
        <v/>
      </c>
      <c r="R369" s="19" t="str">
        <f>IFERROR(VLOOKUP($K369,Parameters!$A$5:$D$101,4,FALSE),"")</f>
        <v/>
      </c>
      <c r="S369" s="19"/>
      <c r="T369" s="19"/>
      <c r="U369" s="19"/>
      <c r="V369" s="19"/>
      <c r="W369" s="19"/>
      <c r="X369" s="19"/>
    </row>
    <row r="370" spans="1:24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 t="str">
        <f>IFERROR(VLOOKUP($K370,Parameters!$A$5:$D$101,3,FALSE),"")</f>
        <v/>
      </c>
      <c r="R370" s="19" t="str">
        <f>IFERROR(VLOOKUP($K370,Parameters!$A$5:$D$101,4,FALSE),"")</f>
        <v/>
      </c>
      <c r="S370" s="19"/>
      <c r="T370" s="19"/>
      <c r="U370" s="19"/>
      <c r="V370" s="19"/>
      <c r="W370" s="19"/>
      <c r="X370" s="19"/>
    </row>
    <row r="371" spans="1:24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 t="str">
        <f>IFERROR(VLOOKUP($K371,Parameters!$A$5:$D$101,3,FALSE),"")</f>
        <v/>
      </c>
      <c r="R371" s="19" t="str">
        <f>IFERROR(VLOOKUP($K371,Parameters!$A$5:$D$101,4,FALSE),"")</f>
        <v/>
      </c>
      <c r="S371" s="19"/>
      <c r="T371" s="19"/>
      <c r="U371" s="19"/>
      <c r="V371" s="19"/>
      <c r="W371" s="19"/>
      <c r="X371" s="19"/>
    </row>
    <row r="372" spans="1:24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 t="str">
        <f>IFERROR(VLOOKUP($K372,Parameters!$A$5:$D$101,3,FALSE),"")</f>
        <v/>
      </c>
      <c r="R372" s="19" t="str">
        <f>IFERROR(VLOOKUP($K372,Parameters!$A$5:$D$101,4,FALSE),"")</f>
        <v/>
      </c>
      <c r="S372" s="19"/>
      <c r="T372" s="19"/>
      <c r="U372" s="19"/>
      <c r="V372" s="19"/>
      <c r="W372" s="19"/>
      <c r="X372" s="19"/>
    </row>
    <row r="373" spans="1:24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 t="str">
        <f>IFERROR(VLOOKUP($K373,Parameters!$A$5:$D$101,3,FALSE),"")</f>
        <v/>
      </c>
      <c r="R373" s="19" t="str">
        <f>IFERROR(VLOOKUP($K373,Parameters!$A$5:$D$101,4,FALSE),"")</f>
        <v/>
      </c>
      <c r="S373" s="19"/>
      <c r="T373" s="19"/>
      <c r="U373" s="19"/>
      <c r="V373" s="19"/>
      <c r="W373" s="19"/>
      <c r="X373" s="19"/>
    </row>
    <row r="374" spans="1:2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 t="str">
        <f>IFERROR(VLOOKUP($K374,Parameters!$A$5:$D$101,3,FALSE),"")</f>
        <v/>
      </c>
      <c r="R374" s="19" t="str">
        <f>IFERROR(VLOOKUP($K374,Parameters!$A$5:$D$101,4,FALSE),"")</f>
        <v/>
      </c>
      <c r="S374" s="19"/>
      <c r="T374" s="19"/>
      <c r="U374" s="19"/>
      <c r="V374" s="19"/>
      <c r="W374" s="19"/>
      <c r="X374" s="19"/>
    </row>
    <row r="375" spans="1:24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 t="str">
        <f>IFERROR(VLOOKUP($K375,Parameters!$A$5:$D$101,3,FALSE),"")</f>
        <v/>
      </c>
      <c r="R375" s="19" t="str">
        <f>IFERROR(VLOOKUP($K375,Parameters!$A$5:$D$101,4,FALSE),"")</f>
        <v/>
      </c>
      <c r="S375" s="19"/>
      <c r="T375" s="19"/>
      <c r="U375" s="19"/>
      <c r="V375" s="19"/>
      <c r="W375" s="19"/>
      <c r="X375" s="19"/>
    </row>
    <row r="376" spans="1:24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 t="str">
        <f>IFERROR(VLOOKUP($K376,Parameters!$A$5:$D$101,3,FALSE),"")</f>
        <v/>
      </c>
      <c r="R376" s="19" t="str">
        <f>IFERROR(VLOOKUP($K376,Parameters!$A$5:$D$101,4,FALSE),"")</f>
        <v/>
      </c>
      <c r="S376" s="19"/>
      <c r="T376" s="19"/>
      <c r="U376" s="19"/>
      <c r="V376" s="19"/>
      <c r="W376" s="19"/>
      <c r="X376" s="19"/>
    </row>
    <row r="377" spans="1:24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 t="str">
        <f>IFERROR(VLOOKUP($K377,Parameters!$A$5:$D$101,3,FALSE),"")</f>
        <v/>
      </c>
      <c r="R377" s="19" t="str">
        <f>IFERROR(VLOOKUP($K377,Parameters!$A$5:$D$101,4,FALSE),"")</f>
        <v/>
      </c>
      <c r="S377" s="19"/>
      <c r="T377" s="19"/>
      <c r="U377" s="19"/>
      <c r="V377" s="19"/>
      <c r="W377" s="19"/>
      <c r="X377" s="19"/>
    </row>
    <row r="378" spans="1:24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 t="str">
        <f>IFERROR(VLOOKUP($K378,Parameters!$A$5:$D$101,3,FALSE),"")</f>
        <v/>
      </c>
      <c r="R378" s="19" t="str">
        <f>IFERROR(VLOOKUP($K378,Parameters!$A$5:$D$101,4,FALSE),"")</f>
        <v/>
      </c>
      <c r="S378" s="19"/>
      <c r="T378" s="19"/>
      <c r="U378" s="19"/>
      <c r="V378" s="19"/>
      <c r="W378" s="19"/>
      <c r="X378" s="19"/>
    </row>
    <row r="379" spans="1:24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 t="str">
        <f>IFERROR(VLOOKUP($K379,Parameters!$A$5:$D$101,3,FALSE),"")</f>
        <v/>
      </c>
      <c r="R379" s="19" t="str">
        <f>IFERROR(VLOOKUP($K379,Parameters!$A$5:$D$101,4,FALSE),"")</f>
        <v/>
      </c>
      <c r="S379" s="19"/>
      <c r="T379" s="19"/>
      <c r="U379" s="19"/>
      <c r="V379" s="19"/>
      <c r="W379" s="19"/>
      <c r="X379" s="19"/>
    </row>
    <row r="380" spans="1:24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 t="str">
        <f>IFERROR(VLOOKUP($K380,Parameters!$A$5:$D$101,3,FALSE),"")</f>
        <v/>
      </c>
      <c r="R380" s="19" t="str">
        <f>IFERROR(VLOOKUP($K380,Parameters!$A$5:$D$101,4,FALSE),"")</f>
        <v/>
      </c>
      <c r="S380" s="19"/>
      <c r="T380" s="19"/>
      <c r="U380" s="19"/>
      <c r="V380" s="19"/>
      <c r="W380" s="19"/>
      <c r="X380" s="19"/>
    </row>
    <row r="381" spans="1:24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 t="str">
        <f>IFERROR(VLOOKUP($K381,Parameters!$A$5:$D$101,3,FALSE),"")</f>
        <v/>
      </c>
      <c r="R381" s="19" t="str">
        <f>IFERROR(VLOOKUP($K381,Parameters!$A$5:$D$101,4,FALSE),"")</f>
        <v/>
      </c>
      <c r="S381" s="19"/>
      <c r="T381" s="19"/>
      <c r="U381" s="19"/>
      <c r="V381" s="19"/>
      <c r="W381" s="19"/>
      <c r="X381" s="19"/>
    </row>
    <row r="382" spans="1:24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 t="str">
        <f>IFERROR(VLOOKUP($K382,Parameters!$A$5:$D$101,3,FALSE),"")</f>
        <v/>
      </c>
      <c r="R382" s="19" t="str">
        <f>IFERROR(VLOOKUP($K382,Parameters!$A$5:$D$101,4,FALSE),"")</f>
        <v/>
      </c>
      <c r="S382" s="19"/>
      <c r="T382" s="19"/>
      <c r="U382" s="19"/>
      <c r="V382" s="19"/>
      <c r="W382" s="19"/>
      <c r="X382" s="19"/>
    </row>
    <row r="383" spans="1:24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 t="str">
        <f>IFERROR(VLOOKUP($K383,Parameters!$A$5:$D$101,3,FALSE),"")</f>
        <v/>
      </c>
      <c r="R383" s="19" t="str">
        <f>IFERROR(VLOOKUP($K383,Parameters!$A$5:$D$101,4,FALSE),"")</f>
        <v/>
      </c>
      <c r="S383" s="19"/>
      <c r="T383" s="19"/>
      <c r="U383" s="19"/>
      <c r="V383" s="19"/>
      <c r="W383" s="19"/>
      <c r="X383" s="19"/>
    </row>
    <row r="384" spans="1:2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 t="str">
        <f>IFERROR(VLOOKUP($K384,Parameters!$A$5:$D$101,3,FALSE),"")</f>
        <v/>
      </c>
      <c r="R384" s="19" t="str">
        <f>IFERROR(VLOOKUP($K384,Parameters!$A$5:$D$101,4,FALSE),"")</f>
        <v/>
      </c>
      <c r="S384" s="19"/>
      <c r="T384" s="19"/>
      <c r="U384" s="19"/>
      <c r="V384" s="19"/>
      <c r="W384" s="19"/>
      <c r="X384" s="19"/>
    </row>
    <row r="385" spans="1:24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 t="str">
        <f>IFERROR(VLOOKUP($K385,Parameters!$A$5:$D$101,3,FALSE),"")</f>
        <v/>
      </c>
      <c r="R385" s="19" t="str">
        <f>IFERROR(VLOOKUP($K385,Parameters!$A$5:$D$101,4,FALSE),"")</f>
        <v/>
      </c>
      <c r="S385" s="19"/>
      <c r="T385" s="19"/>
      <c r="U385" s="19"/>
      <c r="V385" s="19"/>
      <c r="W385" s="19"/>
      <c r="X385" s="19"/>
    </row>
    <row r="386" spans="1:24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 t="str">
        <f>IFERROR(VLOOKUP($K386,Parameters!$A$5:$D$101,3,FALSE),"")</f>
        <v/>
      </c>
      <c r="R386" s="19" t="str">
        <f>IFERROR(VLOOKUP($K386,Parameters!$A$5:$D$101,4,FALSE),"")</f>
        <v/>
      </c>
      <c r="S386" s="19"/>
      <c r="T386" s="19"/>
      <c r="U386" s="19"/>
      <c r="V386" s="19"/>
      <c r="W386" s="19"/>
      <c r="X386" s="19"/>
    </row>
    <row r="387" spans="1:24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 t="str">
        <f>IFERROR(VLOOKUP($K387,Parameters!$A$5:$D$101,3,FALSE),"")</f>
        <v/>
      </c>
      <c r="R387" s="19" t="str">
        <f>IFERROR(VLOOKUP($K387,Parameters!$A$5:$D$101,4,FALSE),"")</f>
        <v/>
      </c>
      <c r="S387" s="19"/>
      <c r="T387" s="19"/>
      <c r="U387" s="19"/>
      <c r="V387" s="19"/>
      <c r="W387" s="19"/>
      <c r="X387" s="19"/>
    </row>
    <row r="388" spans="1:24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 t="str">
        <f>IFERROR(VLOOKUP($K388,Parameters!$A$5:$D$101,3,FALSE),"")</f>
        <v/>
      </c>
      <c r="R388" s="19" t="str">
        <f>IFERROR(VLOOKUP($K388,Parameters!$A$5:$D$101,4,FALSE),"")</f>
        <v/>
      </c>
      <c r="S388" s="19"/>
      <c r="T388" s="19"/>
      <c r="U388" s="19"/>
      <c r="V388" s="19"/>
      <c r="W388" s="19"/>
      <c r="X388" s="19"/>
    </row>
    <row r="389" spans="1:24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 t="str">
        <f>IFERROR(VLOOKUP($K389,Parameters!$A$5:$D$101,3,FALSE),"")</f>
        <v/>
      </c>
      <c r="R389" s="19" t="str">
        <f>IFERROR(VLOOKUP($K389,Parameters!$A$5:$D$101,4,FALSE),"")</f>
        <v/>
      </c>
      <c r="S389" s="19"/>
      <c r="T389" s="19"/>
      <c r="U389" s="19"/>
      <c r="V389" s="19"/>
      <c r="W389" s="19"/>
      <c r="X389" s="19"/>
    </row>
    <row r="390" spans="1:24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 t="str">
        <f>IFERROR(VLOOKUP($K390,Parameters!$A$5:$D$101,3,FALSE),"")</f>
        <v/>
      </c>
      <c r="R390" s="19" t="str">
        <f>IFERROR(VLOOKUP($K390,Parameters!$A$5:$D$101,4,FALSE),"")</f>
        <v/>
      </c>
      <c r="S390" s="19"/>
      <c r="T390" s="19"/>
      <c r="U390" s="19"/>
      <c r="V390" s="19"/>
      <c r="W390" s="19"/>
      <c r="X390" s="19"/>
    </row>
    <row r="391" spans="1:24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 t="str">
        <f>IFERROR(VLOOKUP($K391,Parameters!$A$5:$D$101,3,FALSE),"")</f>
        <v/>
      </c>
      <c r="R391" s="19" t="str">
        <f>IFERROR(VLOOKUP($K391,Parameters!$A$5:$D$101,4,FALSE),"")</f>
        <v/>
      </c>
      <c r="S391" s="19"/>
      <c r="T391" s="19"/>
      <c r="U391" s="19"/>
      <c r="V391" s="19"/>
      <c r="W391" s="19"/>
      <c r="X391" s="19"/>
    </row>
    <row r="392" spans="1:24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 t="str">
        <f>IFERROR(VLOOKUP($K392,Parameters!$A$5:$D$101,3,FALSE),"")</f>
        <v/>
      </c>
      <c r="R392" s="19" t="str">
        <f>IFERROR(VLOOKUP($K392,Parameters!$A$5:$D$101,4,FALSE),"")</f>
        <v/>
      </c>
      <c r="S392" s="19"/>
      <c r="T392" s="19"/>
      <c r="U392" s="19"/>
      <c r="V392" s="19"/>
      <c r="W392" s="19"/>
      <c r="X392" s="19"/>
    </row>
    <row r="393" spans="1:24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 t="str">
        <f>IFERROR(VLOOKUP($K393,Parameters!$A$5:$D$101,3,FALSE),"")</f>
        <v/>
      </c>
      <c r="R393" s="19" t="str">
        <f>IFERROR(VLOOKUP($K393,Parameters!$A$5:$D$101,4,FALSE),"")</f>
        <v/>
      </c>
      <c r="S393" s="19"/>
      <c r="T393" s="19"/>
      <c r="U393" s="19"/>
      <c r="V393" s="19"/>
      <c r="W393" s="19"/>
      <c r="X393" s="19"/>
    </row>
    <row r="394" spans="1:2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 t="str">
        <f>IFERROR(VLOOKUP($K394,Parameters!$A$5:$D$101,3,FALSE),"")</f>
        <v/>
      </c>
      <c r="R394" s="19" t="str">
        <f>IFERROR(VLOOKUP($K394,Parameters!$A$5:$D$101,4,FALSE),"")</f>
        <v/>
      </c>
      <c r="S394" s="19"/>
      <c r="T394" s="19"/>
      <c r="U394" s="19"/>
      <c r="V394" s="19"/>
      <c r="W394" s="19"/>
      <c r="X394" s="19"/>
    </row>
    <row r="395" spans="1:24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 t="str">
        <f>IFERROR(VLOOKUP($K395,Parameters!$A$5:$D$101,3,FALSE),"")</f>
        <v/>
      </c>
      <c r="R395" s="19" t="str">
        <f>IFERROR(VLOOKUP($K395,Parameters!$A$5:$D$101,4,FALSE),"")</f>
        <v/>
      </c>
      <c r="S395" s="19"/>
      <c r="T395" s="19"/>
      <c r="U395" s="19"/>
      <c r="V395" s="19"/>
      <c r="W395" s="19"/>
      <c r="X395" s="19"/>
    </row>
    <row r="396" spans="1:24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 t="str">
        <f>IFERROR(VLOOKUP($K396,Parameters!$A$5:$D$101,3,FALSE),"")</f>
        <v/>
      </c>
      <c r="R396" s="19" t="str">
        <f>IFERROR(VLOOKUP($K396,Parameters!$A$5:$D$101,4,FALSE),"")</f>
        <v/>
      </c>
      <c r="S396" s="19"/>
      <c r="T396" s="19"/>
      <c r="U396" s="19"/>
      <c r="V396" s="19"/>
      <c r="W396" s="19"/>
      <c r="X396" s="19"/>
    </row>
    <row r="397" spans="1:24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 t="str">
        <f>IFERROR(VLOOKUP($K397,Parameters!$A$5:$D$101,3,FALSE),"")</f>
        <v/>
      </c>
      <c r="R397" s="19" t="str">
        <f>IFERROR(VLOOKUP($K397,Parameters!$A$5:$D$101,4,FALSE),"")</f>
        <v/>
      </c>
      <c r="S397" s="19"/>
      <c r="T397" s="19"/>
      <c r="U397" s="19"/>
      <c r="V397" s="19"/>
      <c r="W397" s="19"/>
      <c r="X397" s="19"/>
    </row>
    <row r="398" spans="1:24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 t="str">
        <f>IFERROR(VLOOKUP($K398,Parameters!$A$5:$D$101,3,FALSE),"")</f>
        <v/>
      </c>
      <c r="R398" s="19" t="str">
        <f>IFERROR(VLOOKUP($K398,Parameters!$A$5:$D$101,4,FALSE),"")</f>
        <v/>
      </c>
      <c r="S398" s="19"/>
      <c r="T398" s="19"/>
      <c r="U398" s="19"/>
      <c r="V398" s="19"/>
      <c r="W398" s="19"/>
      <c r="X398" s="19"/>
    </row>
    <row r="399" spans="1:24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 t="str">
        <f>IFERROR(VLOOKUP($K399,Parameters!$A$5:$D$101,3,FALSE),"")</f>
        <v/>
      </c>
      <c r="R399" s="19" t="str">
        <f>IFERROR(VLOOKUP($K399,Parameters!$A$5:$D$101,4,FALSE),"")</f>
        <v/>
      </c>
      <c r="S399" s="19"/>
      <c r="T399" s="19"/>
      <c r="U399" s="19"/>
      <c r="V399" s="19"/>
      <c r="W399" s="19"/>
      <c r="X399" s="19"/>
    </row>
    <row r="400" spans="1:24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 t="str">
        <f>IFERROR(VLOOKUP($K400,Parameters!$A$5:$D$101,3,FALSE),"")</f>
        <v/>
      </c>
      <c r="R400" s="19" t="str">
        <f>IFERROR(VLOOKUP($K400,Parameters!$A$5:$D$101,4,FALSE),"")</f>
        <v/>
      </c>
      <c r="S400" s="19"/>
      <c r="T400" s="19"/>
      <c r="U400" s="19"/>
      <c r="V400" s="19"/>
      <c r="W400" s="19"/>
      <c r="X400" s="19"/>
    </row>
    <row r="401" spans="1:24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 t="str">
        <f>IFERROR(VLOOKUP($K401,Parameters!$A$5:$D$101,3,FALSE),"")</f>
        <v/>
      </c>
      <c r="R401" s="19" t="str">
        <f>IFERROR(VLOOKUP($K401,Parameters!$A$5:$D$101,4,FALSE),"")</f>
        <v/>
      </c>
      <c r="S401" s="19"/>
      <c r="T401" s="19"/>
      <c r="U401" s="19"/>
      <c r="V401" s="19"/>
      <c r="W401" s="19"/>
      <c r="X401" s="19"/>
    </row>
    <row r="402" spans="1:24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 t="str">
        <f>IFERROR(VLOOKUP($K402,Parameters!$A$5:$D$101,3,FALSE),"")</f>
        <v/>
      </c>
      <c r="R402" s="19" t="str">
        <f>IFERROR(VLOOKUP($K402,Parameters!$A$5:$D$101,4,FALSE),"")</f>
        <v/>
      </c>
      <c r="S402" s="19"/>
      <c r="T402" s="19"/>
      <c r="U402" s="19"/>
      <c r="V402" s="19"/>
      <c r="W402" s="19"/>
      <c r="X402" s="19"/>
    </row>
    <row r="403" spans="1:24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 t="str">
        <f>IFERROR(VLOOKUP($K403,Parameters!$A$5:$D$101,3,FALSE),"")</f>
        <v/>
      </c>
      <c r="R403" s="19" t="str">
        <f>IFERROR(VLOOKUP($K403,Parameters!$A$5:$D$101,4,FALSE),"")</f>
        <v/>
      </c>
      <c r="S403" s="19"/>
      <c r="T403" s="19"/>
      <c r="U403" s="19"/>
      <c r="V403" s="19"/>
      <c r="W403" s="19"/>
      <c r="X403" s="19"/>
    </row>
    <row r="404" spans="1:2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 t="str">
        <f>IFERROR(VLOOKUP($K404,Parameters!$A$5:$D$101,3,FALSE),"")</f>
        <v/>
      </c>
      <c r="R404" s="19" t="str">
        <f>IFERROR(VLOOKUP($K404,Parameters!$A$5:$D$101,4,FALSE),"")</f>
        <v/>
      </c>
      <c r="S404" s="19"/>
      <c r="T404" s="19"/>
      <c r="U404" s="19"/>
      <c r="V404" s="19"/>
      <c r="W404" s="19"/>
      <c r="X404" s="19"/>
    </row>
    <row r="405" spans="1:24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 t="str">
        <f>IFERROR(VLOOKUP($K405,Parameters!$A$5:$D$101,3,FALSE),"")</f>
        <v/>
      </c>
      <c r="R405" s="19" t="str">
        <f>IFERROR(VLOOKUP($K405,Parameters!$A$5:$D$101,4,FALSE),"")</f>
        <v/>
      </c>
      <c r="S405" s="19"/>
      <c r="T405" s="19"/>
      <c r="U405" s="19"/>
      <c r="V405" s="19"/>
      <c r="W405" s="19"/>
      <c r="X405" s="19"/>
    </row>
    <row r="406" spans="1:24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 t="str">
        <f>IFERROR(VLOOKUP($K406,Parameters!$A$5:$D$101,3,FALSE),"")</f>
        <v/>
      </c>
      <c r="R406" s="19" t="str">
        <f>IFERROR(VLOOKUP($K406,Parameters!$A$5:$D$101,4,FALSE),"")</f>
        <v/>
      </c>
      <c r="S406" s="19"/>
      <c r="T406" s="19"/>
      <c r="U406" s="19"/>
      <c r="V406" s="19"/>
      <c r="W406" s="19"/>
      <c r="X406" s="19"/>
    </row>
    <row r="407" spans="1:24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 t="str">
        <f>IFERROR(VLOOKUP($K407,Parameters!$A$5:$D$101,3,FALSE),"")</f>
        <v/>
      </c>
      <c r="R407" s="19" t="str">
        <f>IFERROR(VLOOKUP($K407,Parameters!$A$5:$D$101,4,FALSE),"")</f>
        <v/>
      </c>
      <c r="S407" s="19"/>
      <c r="T407" s="19"/>
      <c r="U407" s="19"/>
      <c r="V407" s="19"/>
      <c r="W407" s="19"/>
      <c r="X407" s="19"/>
    </row>
    <row r="408" spans="1:24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 t="str">
        <f>IFERROR(VLOOKUP($K408,Parameters!$A$5:$D$101,3,FALSE),"")</f>
        <v/>
      </c>
      <c r="R408" s="19" t="str">
        <f>IFERROR(VLOOKUP($K408,Parameters!$A$5:$D$101,4,FALSE),"")</f>
        <v/>
      </c>
      <c r="S408" s="19"/>
      <c r="T408" s="19"/>
      <c r="U408" s="19"/>
      <c r="V408" s="19"/>
      <c r="W408" s="19"/>
      <c r="X408" s="19"/>
    </row>
    <row r="409" spans="1:24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 t="str">
        <f>IFERROR(VLOOKUP($K409,Parameters!$A$5:$D$101,3,FALSE),"")</f>
        <v/>
      </c>
      <c r="R409" s="19" t="str">
        <f>IFERROR(VLOOKUP($K409,Parameters!$A$5:$D$101,4,FALSE),"")</f>
        <v/>
      </c>
      <c r="S409" s="19"/>
      <c r="T409" s="19"/>
      <c r="U409" s="19"/>
      <c r="V409" s="19"/>
      <c r="W409" s="19"/>
      <c r="X409" s="19"/>
    </row>
    <row r="410" spans="1:24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 t="str">
        <f>IFERROR(VLOOKUP($K410,Parameters!$A$5:$D$101,3,FALSE),"")</f>
        <v/>
      </c>
      <c r="R410" s="19" t="str">
        <f>IFERROR(VLOOKUP($K410,Parameters!$A$5:$D$101,4,FALSE),"")</f>
        <v/>
      </c>
      <c r="S410" s="19"/>
      <c r="T410" s="19"/>
      <c r="U410" s="19"/>
      <c r="V410" s="19"/>
      <c r="W410" s="19"/>
      <c r="X410" s="19"/>
    </row>
    <row r="411" spans="1:24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 t="str">
        <f>IFERROR(VLOOKUP($K411,Parameters!$A$5:$D$101,3,FALSE),"")</f>
        <v/>
      </c>
      <c r="R411" s="19" t="str">
        <f>IFERROR(VLOOKUP($K411,Parameters!$A$5:$D$101,4,FALSE),"")</f>
        <v/>
      </c>
      <c r="S411" s="19"/>
      <c r="T411" s="19"/>
      <c r="U411" s="19"/>
      <c r="V411" s="19"/>
      <c r="W411" s="19"/>
      <c r="X411" s="19"/>
    </row>
    <row r="412" spans="1:24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 t="str">
        <f>IFERROR(VLOOKUP($K412,Parameters!$A$5:$D$101,3,FALSE),"")</f>
        <v/>
      </c>
      <c r="R412" s="19" t="str">
        <f>IFERROR(VLOOKUP($K412,Parameters!$A$5:$D$101,4,FALSE),"")</f>
        <v/>
      </c>
      <c r="S412" s="19"/>
      <c r="T412" s="19"/>
      <c r="U412" s="19"/>
      <c r="V412" s="19"/>
      <c r="W412" s="19"/>
      <c r="X412" s="19"/>
    </row>
    <row r="413" spans="1:24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 t="str">
        <f>IFERROR(VLOOKUP($K413,Parameters!$A$5:$D$101,3,FALSE),"")</f>
        <v/>
      </c>
      <c r="R413" s="19" t="str">
        <f>IFERROR(VLOOKUP($K413,Parameters!$A$5:$D$101,4,FALSE),"")</f>
        <v/>
      </c>
      <c r="S413" s="19"/>
      <c r="T413" s="19"/>
      <c r="U413" s="19"/>
      <c r="V413" s="19"/>
      <c r="W413" s="19"/>
      <c r="X413" s="19"/>
    </row>
    <row r="414" spans="1:2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 t="str">
        <f>IFERROR(VLOOKUP($K414,Parameters!$A$5:$D$101,3,FALSE),"")</f>
        <v/>
      </c>
      <c r="R414" s="19" t="str">
        <f>IFERROR(VLOOKUP($K414,Parameters!$A$5:$D$101,4,FALSE),"")</f>
        <v/>
      </c>
      <c r="S414" s="19"/>
      <c r="T414" s="19"/>
      <c r="U414" s="19"/>
      <c r="V414" s="19"/>
      <c r="W414" s="19"/>
      <c r="X414" s="19"/>
    </row>
    <row r="415" spans="1:24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 t="str">
        <f>IFERROR(VLOOKUP($K415,Parameters!$A$5:$D$101,3,FALSE),"")</f>
        <v/>
      </c>
      <c r="R415" s="19" t="str">
        <f>IFERROR(VLOOKUP($K415,Parameters!$A$5:$D$101,4,FALSE),"")</f>
        <v/>
      </c>
      <c r="S415" s="19"/>
      <c r="T415" s="19"/>
      <c r="U415" s="19"/>
      <c r="V415" s="19"/>
      <c r="W415" s="19"/>
      <c r="X415" s="19"/>
    </row>
    <row r="416" spans="1:24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 t="str">
        <f>IFERROR(VLOOKUP($K416,Parameters!$A$5:$D$101,3,FALSE),"")</f>
        <v/>
      </c>
      <c r="R416" s="19" t="str">
        <f>IFERROR(VLOOKUP($K416,Parameters!$A$5:$D$101,4,FALSE),"")</f>
        <v/>
      </c>
      <c r="S416" s="19"/>
      <c r="T416" s="19"/>
      <c r="U416" s="19"/>
      <c r="V416" s="19"/>
      <c r="W416" s="19"/>
      <c r="X416" s="19"/>
    </row>
    <row r="417" spans="1:24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 t="str">
        <f>IFERROR(VLOOKUP($K417,Parameters!$A$5:$D$101,3,FALSE),"")</f>
        <v/>
      </c>
      <c r="R417" s="19" t="str">
        <f>IFERROR(VLOOKUP($K417,Parameters!$A$5:$D$101,4,FALSE),"")</f>
        <v/>
      </c>
      <c r="S417" s="19"/>
      <c r="T417" s="19"/>
      <c r="U417" s="19"/>
      <c r="V417" s="19"/>
      <c r="W417" s="19"/>
      <c r="X417" s="19"/>
    </row>
    <row r="418" spans="1:24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 t="str">
        <f>IFERROR(VLOOKUP($K418,Parameters!$A$5:$D$101,3,FALSE),"")</f>
        <v/>
      </c>
      <c r="R418" s="19" t="str">
        <f>IFERROR(VLOOKUP($K418,Parameters!$A$5:$D$101,4,FALSE),"")</f>
        <v/>
      </c>
      <c r="S418" s="19"/>
      <c r="T418" s="19"/>
      <c r="U418" s="19"/>
      <c r="V418" s="19"/>
      <c r="W418" s="19"/>
      <c r="X418" s="19"/>
    </row>
    <row r="419" spans="1:24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 t="str">
        <f>IFERROR(VLOOKUP($K419,Parameters!$A$5:$D$101,3,FALSE),"")</f>
        <v/>
      </c>
      <c r="R419" s="19" t="str">
        <f>IFERROR(VLOOKUP($K419,Parameters!$A$5:$D$101,4,FALSE),"")</f>
        <v/>
      </c>
      <c r="S419" s="19"/>
      <c r="T419" s="19"/>
      <c r="U419" s="19"/>
      <c r="V419" s="19"/>
      <c r="W419" s="19"/>
      <c r="X419" s="19"/>
    </row>
    <row r="420" spans="1:24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 t="str">
        <f>IFERROR(VLOOKUP($K420,Parameters!$A$5:$D$101,3,FALSE),"")</f>
        <v/>
      </c>
      <c r="R420" s="19" t="str">
        <f>IFERROR(VLOOKUP($K420,Parameters!$A$5:$D$101,4,FALSE),"")</f>
        <v/>
      </c>
      <c r="S420" s="19"/>
      <c r="T420" s="19"/>
      <c r="U420" s="19"/>
      <c r="V420" s="19"/>
      <c r="W420" s="19"/>
      <c r="X420" s="19"/>
    </row>
    <row r="421" spans="1:24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 t="str">
        <f>IFERROR(VLOOKUP($K421,Parameters!$A$5:$D$101,3,FALSE),"")</f>
        <v/>
      </c>
      <c r="R421" s="19" t="str">
        <f>IFERROR(VLOOKUP($K421,Parameters!$A$5:$D$101,4,FALSE),"")</f>
        <v/>
      </c>
      <c r="S421" s="19"/>
      <c r="T421" s="19"/>
      <c r="U421" s="19"/>
      <c r="V421" s="19"/>
      <c r="W421" s="19"/>
      <c r="X421" s="19"/>
    </row>
    <row r="422" spans="1:24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 t="str">
        <f>IFERROR(VLOOKUP($K422,Parameters!$A$5:$D$101,3,FALSE),"")</f>
        <v/>
      </c>
      <c r="R422" s="19" t="str">
        <f>IFERROR(VLOOKUP($K422,Parameters!$A$5:$D$101,4,FALSE),"")</f>
        <v/>
      </c>
      <c r="S422" s="19"/>
      <c r="T422" s="19"/>
      <c r="U422" s="19"/>
      <c r="V422" s="19"/>
      <c r="W422" s="19"/>
      <c r="X422" s="19"/>
    </row>
    <row r="423" spans="1:24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 t="str">
        <f>IFERROR(VLOOKUP($K423,Parameters!$A$5:$D$101,3,FALSE),"")</f>
        <v/>
      </c>
      <c r="R423" s="19" t="str">
        <f>IFERROR(VLOOKUP($K423,Parameters!$A$5:$D$101,4,FALSE),"")</f>
        <v/>
      </c>
      <c r="S423" s="19"/>
      <c r="T423" s="19"/>
      <c r="U423" s="19"/>
      <c r="V423" s="19"/>
      <c r="W423" s="19"/>
      <c r="X423" s="19"/>
    </row>
    <row r="424" spans="1: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 t="str">
        <f>IFERROR(VLOOKUP($K424,Parameters!$A$5:$D$101,3,FALSE),"")</f>
        <v/>
      </c>
      <c r="R424" s="19" t="str">
        <f>IFERROR(VLOOKUP($K424,Parameters!$A$5:$D$101,4,FALSE),"")</f>
        <v/>
      </c>
      <c r="S424" s="19"/>
      <c r="T424" s="19"/>
      <c r="U424" s="19"/>
      <c r="V424" s="19"/>
      <c r="W424" s="19"/>
      <c r="X424" s="19"/>
    </row>
    <row r="425" spans="1:24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 t="str">
        <f>IFERROR(VLOOKUP($K425,Parameters!$A$5:$D$101,3,FALSE),"")</f>
        <v/>
      </c>
      <c r="R425" s="19" t="str">
        <f>IFERROR(VLOOKUP($K425,Parameters!$A$5:$D$101,4,FALSE),"")</f>
        <v/>
      </c>
      <c r="S425" s="19"/>
      <c r="T425" s="19"/>
      <c r="U425" s="19"/>
      <c r="V425" s="19"/>
      <c r="W425" s="19"/>
      <c r="X425" s="19"/>
    </row>
    <row r="426" spans="1:24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 t="str">
        <f>IFERROR(VLOOKUP($K426,Parameters!$A$5:$D$101,3,FALSE),"")</f>
        <v/>
      </c>
      <c r="R426" s="19" t="str">
        <f>IFERROR(VLOOKUP($K426,Parameters!$A$5:$D$101,4,FALSE),"")</f>
        <v/>
      </c>
      <c r="S426" s="19"/>
      <c r="T426" s="19"/>
      <c r="U426" s="19"/>
      <c r="V426" s="19"/>
      <c r="W426" s="19"/>
      <c r="X426" s="19"/>
    </row>
    <row r="427" spans="1:24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 t="str">
        <f>IFERROR(VLOOKUP($K427,Parameters!$A$5:$D$101,3,FALSE),"")</f>
        <v/>
      </c>
      <c r="R427" s="19" t="str">
        <f>IFERROR(VLOOKUP($K427,Parameters!$A$5:$D$101,4,FALSE),"")</f>
        <v/>
      </c>
      <c r="S427" s="19"/>
      <c r="T427" s="19"/>
      <c r="U427" s="19"/>
      <c r="V427" s="19"/>
      <c r="W427" s="19"/>
      <c r="X427" s="19"/>
    </row>
    <row r="428" spans="1:24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 t="str">
        <f>IFERROR(VLOOKUP($K428,Parameters!$A$5:$D$101,3,FALSE),"")</f>
        <v/>
      </c>
      <c r="R428" s="19" t="str">
        <f>IFERROR(VLOOKUP($K428,Parameters!$A$5:$D$101,4,FALSE),"")</f>
        <v/>
      </c>
      <c r="S428" s="19"/>
      <c r="T428" s="19"/>
      <c r="U428" s="19"/>
      <c r="V428" s="19"/>
      <c r="W428" s="19"/>
      <c r="X428" s="19"/>
    </row>
    <row r="429" spans="1:24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 t="str">
        <f>IFERROR(VLOOKUP($K429,Parameters!$A$5:$D$101,3,FALSE),"")</f>
        <v/>
      </c>
      <c r="R429" s="19" t="str">
        <f>IFERROR(VLOOKUP($K429,Parameters!$A$5:$D$101,4,FALSE),"")</f>
        <v/>
      </c>
      <c r="S429" s="19"/>
      <c r="T429" s="19"/>
      <c r="U429" s="19"/>
      <c r="V429" s="19"/>
      <c r="W429" s="19"/>
      <c r="X429" s="19"/>
    </row>
    <row r="430" spans="1:24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 t="str">
        <f>IFERROR(VLOOKUP($K430,Parameters!$A$5:$D$101,3,FALSE),"")</f>
        <v/>
      </c>
      <c r="R430" s="19" t="str">
        <f>IFERROR(VLOOKUP($K430,Parameters!$A$5:$D$101,4,FALSE),"")</f>
        <v/>
      </c>
      <c r="S430" s="19"/>
      <c r="T430" s="19"/>
      <c r="U430" s="19"/>
      <c r="V430" s="19"/>
      <c r="W430" s="19"/>
      <c r="X430" s="19"/>
    </row>
    <row r="431" spans="1:24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 t="str">
        <f>IFERROR(VLOOKUP($K431,Parameters!$A$5:$D$101,3,FALSE),"")</f>
        <v/>
      </c>
      <c r="R431" s="19" t="str">
        <f>IFERROR(VLOOKUP($K431,Parameters!$A$5:$D$101,4,FALSE),"")</f>
        <v/>
      </c>
      <c r="S431" s="19"/>
      <c r="T431" s="19"/>
      <c r="U431" s="19"/>
      <c r="V431" s="19"/>
      <c r="W431" s="19"/>
      <c r="X431" s="19"/>
    </row>
    <row r="432" spans="1:24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 t="str">
        <f>IFERROR(VLOOKUP($K432,Parameters!$A$5:$D$101,3,FALSE),"")</f>
        <v/>
      </c>
      <c r="R432" s="19" t="str">
        <f>IFERROR(VLOOKUP($K432,Parameters!$A$5:$D$101,4,FALSE),"")</f>
        <v/>
      </c>
      <c r="S432" s="19"/>
      <c r="T432" s="19"/>
      <c r="U432" s="19"/>
      <c r="V432" s="19"/>
      <c r="W432" s="19"/>
      <c r="X432" s="19"/>
    </row>
    <row r="433" spans="1:24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 t="str">
        <f>IFERROR(VLOOKUP($K433,Parameters!$A$5:$D$101,3,FALSE),"")</f>
        <v/>
      </c>
      <c r="R433" s="19" t="str">
        <f>IFERROR(VLOOKUP($K433,Parameters!$A$5:$D$101,4,FALSE),"")</f>
        <v/>
      </c>
      <c r="S433" s="19"/>
      <c r="T433" s="19"/>
      <c r="U433" s="19"/>
      <c r="V433" s="19"/>
      <c r="W433" s="19"/>
      <c r="X433" s="19"/>
    </row>
    <row r="434" spans="1:2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 t="str">
        <f>IFERROR(VLOOKUP($K434,Parameters!$A$5:$D$101,3,FALSE),"")</f>
        <v/>
      </c>
      <c r="R434" s="19" t="str">
        <f>IFERROR(VLOOKUP($K434,Parameters!$A$5:$D$101,4,FALSE),"")</f>
        <v/>
      </c>
      <c r="S434" s="19"/>
      <c r="T434" s="19"/>
      <c r="U434" s="19"/>
      <c r="V434" s="19"/>
      <c r="W434" s="19"/>
      <c r="X434" s="19"/>
    </row>
    <row r="435" spans="1:24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 t="str">
        <f>IFERROR(VLOOKUP($K435,Parameters!$A$5:$D$101,3,FALSE),"")</f>
        <v/>
      </c>
      <c r="R435" s="19" t="str">
        <f>IFERROR(VLOOKUP($K435,Parameters!$A$5:$D$101,4,FALSE),"")</f>
        <v/>
      </c>
      <c r="S435" s="19"/>
      <c r="T435" s="19"/>
      <c r="U435" s="19"/>
      <c r="V435" s="19"/>
      <c r="W435" s="19"/>
      <c r="X435" s="19"/>
    </row>
    <row r="436" spans="1:24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 t="str">
        <f>IFERROR(VLOOKUP($K436,Parameters!$A$5:$D$101,3,FALSE),"")</f>
        <v/>
      </c>
      <c r="R436" s="19" t="str">
        <f>IFERROR(VLOOKUP($K436,Parameters!$A$5:$D$101,4,FALSE),"")</f>
        <v/>
      </c>
      <c r="S436" s="19"/>
      <c r="T436" s="19"/>
      <c r="U436" s="19"/>
      <c r="V436" s="19"/>
      <c r="W436" s="19"/>
      <c r="X436" s="19"/>
    </row>
    <row r="437" spans="1:24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 t="str">
        <f>IFERROR(VLOOKUP($K437,Parameters!$A$5:$D$101,3,FALSE),"")</f>
        <v/>
      </c>
      <c r="R437" s="19" t="str">
        <f>IFERROR(VLOOKUP($K437,Parameters!$A$5:$D$101,4,FALSE),"")</f>
        <v/>
      </c>
      <c r="S437" s="19"/>
      <c r="T437" s="19"/>
      <c r="U437" s="19"/>
      <c r="V437" s="19"/>
      <c r="W437" s="19"/>
      <c r="X437" s="19"/>
    </row>
    <row r="438" spans="1:24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 t="str">
        <f>IFERROR(VLOOKUP($K438,Parameters!$A$5:$D$101,3,FALSE),"")</f>
        <v/>
      </c>
      <c r="R438" s="19" t="str">
        <f>IFERROR(VLOOKUP($K438,Parameters!$A$5:$D$101,4,FALSE),"")</f>
        <v/>
      </c>
      <c r="S438" s="19"/>
      <c r="T438" s="19"/>
      <c r="U438" s="19"/>
      <c r="V438" s="19"/>
      <c r="W438" s="19"/>
      <c r="X438" s="19"/>
    </row>
    <row r="439" spans="1:24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 t="str">
        <f>IFERROR(VLOOKUP($K439,Parameters!$A$5:$D$101,3,FALSE),"")</f>
        <v/>
      </c>
      <c r="R439" s="19" t="str">
        <f>IFERROR(VLOOKUP($K439,Parameters!$A$5:$D$101,4,FALSE),"")</f>
        <v/>
      </c>
      <c r="S439" s="19"/>
      <c r="T439" s="19"/>
      <c r="U439" s="19"/>
      <c r="V439" s="19"/>
      <c r="W439" s="19"/>
      <c r="X439" s="19"/>
    </row>
    <row r="440" spans="1:24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 t="str">
        <f>IFERROR(VLOOKUP($K440,Parameters!$A$5:$D$101,3,FALSE),"")</f>
        <v/>
      </c>
      <c r="R440" s="19" t="str">
        <f>IFERROR(VLOOKUP($K440,Parameters!$A$5:$D$101,4,FALSE),"")</f>
        <v/>
      </c>
      <c r="S440" s="19"/>
      <c r="T440" s="19"/>
      <c r="U440" s="19"/>
      <c r="V440" s="19"/>
      <c r="W440" s="19"/>
      <c r="X440" s="19"/>
    </row>
    <row r="441" spans="1:24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 t="str">
        <f>IFERROR(VLOOKUP($K441,Parameters!$A$5:$D$101,3,FALSE),"")</f>
        <v/>
      </c>
      <c r="R441" s="19" t="str">
        <f>IFERROR(VLOOKUP($K441,Parameters!$A$5:$D$101,4,FALSE),"")</f>
        <v/>
      </c>
      <c r="S441" s="19"/>
      <c r="T441" s="19"/>
      <c r="U441" s="19"/>
      <c r="V441" s="19"/>
      <c r="W441" s="19"/>
      <c r="X441" s="19"/>
    </row>
    <row r="442" spans="1:24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 t="str">
        <f>IFERROR(VLOOKUP($K442,Parameters!$A$5:$D$101,3,FALSE),"")</f>
        <v/>
      </c>
      <c r="R442" s="19" t="str">
        <f>IFERROR(VLOOKUP($K442,Parameters!$A$5:$D$101,4,FALSE),"")</f>
        <v/>
      </c>
      <c r="S442" s="19"/>
      <c r="T442" s="19"/>
      <c r="U442" s="19"/>
      <c r="V442" s="19"/>
      <c r="W442" s="19"/>
      <c r="X442" s="19"/>
    </row>
    <row r="443" spans="1:24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 t="str">
        <f>IFERROR(VLOOKUP($K443,Parameters!$A$5:$D$101,3,FALSE),"")</f>
        <v/>
      </c>
      <c r="R443" s="19" t="str">
        <f>IFERROR(VLOOKUP($K443,Parameters!$A$5:$D$101,4,FALSE),"")</f>
        <v/>
      </c>
      <c r="S443" s="19"/>
      <c r="T443" s="19"/>
      <c r="U443" s="19"/>
      <c r="V443" s="19"/>
      <c r="W443" s="19"/>
      <c r="X443" s="19"/>
    </row>
    <row r="444" spans="1:2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 t="str">
        <f>IFERROR(VLOOKUP($K444,Parameters!$A$5:$D$101,3,FALSE),"")</f>
        <v/>
      </c>
      <c r="R444" s="19" t="str">
        <f>IFERROR(VLOOKUP($K444,Parameters!$A$5:$D$101,4,FALSE),"")</f>
        <v/>
      </c>
      <c r="S444" s="19"/>
      <c r="T444" s="19"/>
      <c r="U444" s="19"/>
      <c r="V444" s="19"/>
      <c r="W444" s="19"/>
      <c r="X444" s="19"/>
    </row>
    <row r="445" spans="1:24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 t="str">
        <f>IFERROR(VLOOKUP($K445,Parameters!$A$5:$D$101,3,FALSE),"")</f>
        <v/>
      </c>
      <c r="R445" s="19" t="str">
        <f>IFERROR(VLOOKUP($K445,Parameters!$A$5:$D$101,4,FALSE),"")</f>
        <v/>
      </c>
      <c r="S445" s="19"/>
      <c r="T445" s="19"/>
      <c r="U445" s="19"/>
      <c r="V445" s="19"/>
      <c r="W445" s="19"/>
      <c r="X445" s="19"/>
    </row>
    <row r="446" spans="1:24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 t="str">
        <f>IFERROR(VLOOKUP($K446,Parameters!$A$5:$D$101,3,FALSE),"")</f>
        <v/>
      </c>
      <c r="R446" s="19" t="str">
        <f>IFERROR(VLOOKUP($K446,Parameters!$A$5:$D$101,4,FALSE),"")</f>
        <v/>
      </c>
      <c r="S446" s="19"/>
      <c r="T446" s="19"/>
      <c r="U446" s="19"/>
      <c r="V446" s="19"/>
      <c r="W446" s="19"/>
      <c r="X446" s="19"/>
    </row>
    <row r="447" spans="1:24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 t="str">
        <f>IFERROR(VLOOKUP($K447,Parameters!$A$5:$D$101,3,FALSE),"")</f>
        <v/>
      </c>
      <c r="R447" s="19" t="str">
        <f>IFERROR(VLOOKUP($K447,Parameters!$A$5:$D$101,4,FALSE),"")</f>
        <v/>
      </c>
      <c r="S447" s="19"/>
      <c r="T447" s="19"/>
      <c r="U447" s="19"/>
      <c r="V447" s="19"/>
      <c r="W447" s="19"/>
      <c r="X447" s="19"/>
    </row>
    <row r="448" spans="1:24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 t="str">
        <f>IFERROR(VLOOKUP($K448,Parameters!$A$5:$D$101,3,FALSE),"")</f>
        <v/>
      </c>
      <c r="R448" s="19" t="str">
        <f>IFERROR(VLOOKUP($K448,Parameters!$A$5:$D$101,4,FALSE),"")</f>
        <v/>
      </c>
      <c r="S448" s="19"/>
      <c r="T448" s="19"/>
      <c r="U448" s="19"/>
      <c r="V448" s="19"/>
      <c r="W448" s="19"/>
      <c r="X448" s="19"/>
    </row>
    <row r="449" spans="1:24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 t="str">
        <f>IFERROR(VLOOKUP($K449,Parameters!$A$5:$D$101,3,FALSE),"")</f>
        <v/>
      </c>
      <c r="R449" s="19" t="str">
        <f>IFERROR(VLOOKUP($K449,Parameters!$A$5:$D$101,4,FALSE),"")</f>
        <v/>
      </c>
      <c r="S449" s="19"/>
      <c r="T449" s="19"/>
      <c r="U449" s="19"/>
      <c r="V449" s="19"/>
      <c r="W449" s="19"/>
      <c r="X449" s="19"/>
    </row>
    <row r="450" spans="1:24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 t="str">
        <f>IFERROR(VLOOKUP($K450,Parameters!$A$5:$D$101,3,FALSE),"")</f>
        <v/>
      </c>
      <c r="R450" s="19" t="str">
        <f>IFERROR(VLOOKUP($K450,Parameters!$A$5:$D$101,4,FALSE),"")</f>
        <v/>
      </c>
      <c r="S450" s="19"/>
      <c r="T450" s="19"/>
      <c r="U450" s="19"/>
      <c r="V450" s="19"/>
      <c r="W450" s="19"/>
      <c r="X450" s="19"/>
    </row>
    <row r="451" spans="1:24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 t="str">
        <f>IFERROR(VLOOKUP($K451,Parameters!$A$5:$D$101,3,FALSE),"")</f>
        <v/>
      </c>
      <c r="R451" s="19" t="str">
        <f>IFERROR(VLOOKUP($K451,Parameters!$A$5:$D$101,4,FALSE),"")</f>
        <v/>
      </c>
      <c r="S451" s="19"/>
      <c r="T451" s="19"/>
      <c r="U451" s="19"/>
      <c r="V451" s="19"/>
      <c r="W451" s="19"/>
      <c r="X451" s="19"/>
    </row>
    <row r="452" spans="1:24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 t="str">
        <f>IFERROR(VLOOKUP($K452,Parameters!$A$5:$D$101,3,FALSE),"")</f>
        <v/>
      </c>
      <c r="R452" s="19" t="str">
        <f>IFERROR(VLOOKUP($K452,Parameters!$A$5:$D$101,4,FALSE),"")</f>
        <v/>
      </c>
      <c r="S452" s="19"/>
      <c r="T452" s="19"/>
      <c r="U452" s="19"/>
      <c r="V452" s="19"/>
      <c r="W452" s="19"/>
      <c r="X452" s="19"/>
    </row>
    <row r="453" spans="1:24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 t="str">
        <f>IFERROR(VLOOKUP($K453,Parameters!$A$5:$D$101,3,FALSE),"")</f>
        <v/>
      </c>
      <c r="R453" s="19" t="str">
        <f>IFERROR(VLOOKUP($K453,Parameters!$A$5:$D$101,4,FALSE),"")</f>
        <v/>
      </c>
      <c r="S453" s="19"/>
      <c r="T453" s="19"/>
      <c r="U453" s="19"/>
      <c r="V453" s="19"/>
      <c r="W453" s="19"/>
      <c r="X453" s="19"/>
    </row>
    <row r="454" spans="1:2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 t="str">
        <f>IFERROR(VLOOKUP($K454,Parameters!$A$5:$D$101,3,FALSE),"")</f>
        <v/>
      </c>
      <c r="R454" s="19" t="str">
        <f>IFERROR(VLOOKUP($K454,Parameters!$A$5:$D$101,4,FALSE),"")</f>
        <v/>
      </c>
      <c r="S454" s="19"/>
      <c r="T454" s="19"/>
      <c r="U454" s="19"/>
      <c r="V454" s="19"/>
      <c r="W454" s="19"/>
      <c r="X454" s="19"/>
    </row>
    <row r="455" spans="1:24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 t="str">
        <f>IFERROR(VLOOKUP($K455,Parameters!$A$5:$D$101,3,FALSE),"")</f>
        <v/>
      </c>
      <c r="R455" s="19" t="str">
        <f>IFERROR(VLOOKUP($K455,Parameters!$A$5:$D$101,4,FALSE),"")</f>
        <v/>
      </c>
      <c r="S455" s="19"/>
      <c r="T455" s="19"/>
      <c r="U455" s="19"/>
      <c r="V455" s="19"/>
      <c r="W455" s="19"/>
      <c r="X455" s="19"/>
    </row>
    <row r="456" spans="1:24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 t="str">
        <f>IFERROR(VLOOKUP($K456,Parameters!$A$5:$D$101,3,FALSE),"")</f>
        <v/>
      </c>
      <c r="R456" s="19" t="str">
        <f>IFERROR(VLOOKUP($K456,Parameters!$A$5:$D$101,4,FALSE),"")</f>
        <v/>
      </c>
      <c r="S456" s="19"/>
      <c r="T456" s="19"/>
      <c r="U456" s="19"/>
      <c r="V456" s="19"/>
      <c r="W456" s="19"/>
      <c r="X456" s="19"/>
    </row>
    <row r="457" spans="1:24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 t="str">
        <f>IFERROR(VLOOKUP($K457,Parameters!$A$5:$D$101,3,FALSE),"")</f>
        <v/>
      </c>
      <c r="R457" s="19" t="str">
        <f>IFERROR(VLOOKUP($K457,Parameters!$A$5:$D$101,4,FALSE),"")</f>
        <v/>
      </c>
      <c r="S457" s="19"/>
      <c r="T457" s="19"/>
      <c r="U457" s="19"/>
      <c r="V457" s="19"/>
      <c r="W457" s="19"/>
      <c r="X457" s="19"/>
    </row>
    <row r="458" spans="1:24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 t="str">
        <f>IFERROR(VLOOKUP($K458,Parameters!$A$5:$D$101,3,FALSE),"")</f>
        <v/>
      </c>
      <c r="R458" s="19" t="str">
        <f>IFERROR(VLOOKUP($K458,Parameters!$A$5:$D$101,4,FALSE),"")</f>
        <v/>
      </c>
      <c r="S458" s="19"/>
      <c r="T458" s="19"/>
      <c r="U458" s="19"/>
      <c r="V458" s="19"/>
      <c r="W458" s="19"/>
      <c r="X458" s="19"/>
    </row>
    <row r="459" spans="1:24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 t="str">
        <f>IFERROR(VLOOKUP($K459,Parameters!$A$5:$D$101,3,FALSE),"")</f>
        <v/>
      </c>
      <c r="R459" s="19" t="str">
        <f>IFERROR(VLOOKUP($K459,Parameters!$A$5:$D$101,4,FALSE),"")</f>
        <v/>
      </c>
      <c r="S459" s="19"/>
      <c r="T459" s="19"/>
      <c r="U459" s="19"/>
      <c r="V459" s="19"/>
      <c r="W459" s="19"/>
      <c r="X459" s="19"/>
    </row>
    <row r="460" spans="1:24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 t="str">
        <f>IFERROR(VLOOKUP($K460,Parameters!$A$5:$D$101,3,FALSE),"")</f>
        <v/>
      </c>
      <c r="R460" s="19" t="str">
        <f>IFERROR(VLOOKUP($K460,Parameters!$A$5:$D$101,4,FALSE),"")</f>
        <v/>
      </c>
      <c r="S460" s="19"/>
      <c r="T460" s="19"/>
      <c r="U460" s="19"/>
      <c r="V460" s="19"/>
      <c r="W460" s="19"/>
      <c r="X460" s="19"/>
    </row>
    <row r="461" spans="1:24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 t="str">
        <f>IFERROR(VLOOKUP($K461,Parameters!$A$5:$D$101,3,FALSE),"")</f>
        <v/>
      </c>
      <c r="R461" s="19" t="str">
        <f>IFERROR(VLOOKUP($K461,Parameters!$A$5:$D$101,4,FALSE),"")</f>
        <v/>
      </c>
      <c r="S461" s="19"/>
      <c r="T461" s="19"/>
      <c r="U461" s="19"/>
      <c r="V461" s="19"/>
      <c r="W461" s="19"/>
      <c r="X461" s="19"/>
    </row>
    <row r="462" spans="1:24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 t="str">
        <f>IFERROR(VLOOKUP($K462,Parameters!$A$5:$D$101,3,FALSE),"")</f>
        <v/>
      </c>
      <c r="R462" s="19" t="str">
        <f>IFERROR(VLOOKUP($K462,Parameters!$A$5:$D$101,4,FALSE),"")</f>
        <v/>
      </c>
      <c r="S462" s="19"/>
      <c r="T462" s="19"/>
      <c r="U462" s="19"/>
      <c r="V462" s="19"/>
      <c r="W462" s="19"/>
      <c r="X462" s="19"/>
    </row>
    <row r="463" spans="1:24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 t="str">
        <f>IFERROR(VLOOKUP($K463,Parameters!$A$5:$D$101,3,FALSE),"")</f>
        <v/>
      </c>
      <c r="R463" s="19" t="str">
        <f>IFERROR(VLOOKUP($K463,Parameters!$A$5:$D$101,4,FALSE),"")</f>
        <v/>
      </c>
      <c r="S463" s="19"/>
      <c r="T463" s="19"/>
      <c r="U463" s="19"/>
      <c r="V463" s="19"/>
      <c r="W463" s="19"/>
      <c r="X463" s="19"/>
    </row>
    <row r="464" spans="1:2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 t="str">
        <f>IFERROR(VLOOKUP($K464,Parameters!$A$5:$D$101,3,FALSE),"")</f>
        <v/>
      </c>
      <c r="R464" s="19" t="str">
        <f>IFERROR(VLOOKUP($K464,Parameters!$A$5:$D$101,4,FALSE),"")</f>
        <v/>
      </c>
      <c r="S464" s="19"/>
      <c r="T464" s="19"/>
      <c r="U464" s="19"/>
      <c r="V464" s="19"/>
      <c r="W464" s="19"/>
      <c r="X464" s="19"/>
    </row>
    <row r="465" spans="1:24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 t="str">
        <f>IFERROR(VLOOKUP($K465,Parameters!$A$5:$D$101,3,FALSE),"")</f>
        <v/>
      </c>
      <c r="R465" s="19" t="str">
        <f>IFERROR(VLOOKUP($K465,Parameters!$A$5:$D$101,4,FALSE),"")</f>
        <v/>
      </c>
      <c r="S465" s="19"/>
      <c r="T465" s="19"/>
      <c r="U465" s="19"/>
      <c r="V465" s="19"/>
      <c r="W465" s="19"/>
      <c r="X465" s="19"/>
    </row>
    <row r="466" spans="1:24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 t="str">
        <f>IFERROR(VLOOKUP($K466,Parameters!$A$5:$D$101,3,FALSE),"")</f>
        <v/>
      </c>
      <c r="R466" s="19" t="str">
        <f>IFERROR(VLOOKUP($K466,Parameters!$A$5:$D$101,4,FALSE),"")</f>
        <v/>
      </c>
      <c r="S466" s="19"/>
      <c r="T466" s="19"/>
      <c r="U466" s="19"/>
      <c r="V466" s="19"/>
      <c r="W466" s="19"/>
      <c r="X466" s="19"/>
    </row>
    <row r="467" spans="1:24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 t="str">
        <f>IFERROR(VLOOKUP($K467,Parameters!$A$5:$D$101,3,FALSE),"")</f>
        <v/>
      </c>
      <c r="R467" s="19" t="str">
        <f>IFERROR(VLOOKUP($K467,Parameters!$A$5:$D$101,4,FALSE),"")</f>
        <v/>
      </c>
      <c r="S467" s="19"/>
      <c r="T467" s="19"/>
      <c r="U467" s="19"/>
      <c r="V467" s="19"/>
      <c r="W467" s="19"/>
      <c r="X467" s="19"/>
    </row>
    <row r="468" spans="1:24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 t="str">
        <f>IFERROR(VLOOKUP($K468,Parameters!$A$5:$D$101,3,FALSE),"")</f>
        <v/>
      </c>
      <c r="R468" s="19" t="str">
        <f>IFERROR(VLOOKUP($K468,Parameters!$A$5:$D$101,4,FALSE),"")</f>
        <v/>
      </c>
      <c r="S468" s="19"/>
      <c r="T468" s="19"/>
      <c r="U468" s="19"/>
      <c r="V468" s="19"/>
      <c r="W468" s="19"/>
      <c r="X468" s="19"/>
    </row>
    <row r="469" spans="1:24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 t="str">
        <f>IFERROR(VLOOKUP($K469,Parameters!$A$5:$D$101,3,FALSE),"")</f>
        <v/>
      </c>
      <c r="R469" s="19" t="str">
        <f>IFERROR(VLOOKUP($K469,Parameters!$A$5:$D$101,4,FALSE),"")</f>
        <v/>
      </c>
      <c r="S469" s="19"/>
      <c r="T469" s="19"/>
      <c r="U469" s="19"/>
      <c r="V469" s="19"/>
      <c r="W469" s="19"/>
      <c r="X469" s="19"/>
    </row>
    <row r="470" spans="1:24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 t="str">
        <f>IFERROR(VLOOKUP($K470,Parameters!$A$5:$D$101,3,FALSE),"")</f>
        <v/>
      </c>
      <c r="R470" s="19" t="str">
        <f>IFERROR(VLOOKUP($K470,Parameters!$A$5:$D$101,4,FALSE),"")</f>
        <v/>
      </c>
      <c r="S470" s="19"/>
      <c r="T470" s="19"/>
      <c r="U470" s="19"/>
      <c r="V470" s="19"/>
      <c r="W470" s="19"/>
      <c r="X470" s="19"/>
    </row>
    <row r="471" spans="1:24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 t="str">
        <f>IFERROR(VLOOKUP($K471,Parameters!$A$5:$D$101,3,FALSE),"")</f>
        <v/>
      </c>
      <c r="R471" s="19" t="str">
        <f>IFERROR(VLOOKUP($K471,Parameters!$A$5:$D$101,4,FALSE),"")</f>
        <v/>
      </c>
      <c r="S471" s="19"/>
      <c r="T471" s="19"/>
      <c r="U471" s="19"/>
      <c r="V471" s="19"/>
      <c r="W471" s="19"/>
      <c r="X471" s="19"/>
    </row>
    <row r="472" spans="1:24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 t="str">
        <f>IFERROR(VLOOKUP($K472,Parameters!$A$5:$D$101,3,FALSE),"")</f>
        <v/>
      </c>
      <c r="R472" s="19" t="str">
        <f>IFERROR(VLOOKUP($K472,Parameters!$A$5:$D$101,4,FALSE),"")</f>
        <v/>
      </c>
      <c r="S472" s="19"/>
      <c r="T472" s="19"/>
      <c r="U472" s="19"/>
      <c r="V472" s="19"/>
      <c r="W472" s="19"/>
      <c r="X472" s="19"/>
    </row>
    <row r="473" spans="1:24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 t="str">
        <f>IFERROR(VLOOKUP($K473,Parameters!$A$5:$D$101,3,FALSE),"")</f>
        <v/>
      </c>
      <c r="R473" s="19" t="str">
        <f>IFERROR(VLOOKUP($K473,Parameters!$A$5:$D$101,4,FALSE),"")</f>
        <v/>
      </c>
      <c r="S473" s="19"/>
      <c r="T473" s="19"/>
      <c r="U473" s="19"/>
      <c r="V473" s="19"/>
      <c r="W473" s="19"/>
      <c r="X473" s="19"/>
    </row>
    <row r="474" spans="1:2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 t="str">
        <f>IFERROR(VLOOKUP($K474,Parameters!$A$5:$D$101,3,FALSE),"")</f>
        <v/>
      </c>
      <c r="R474" s="19" t="str">
        <f>IFERROR(VLOOKUP($K474,Parameters!$A$5:$D$101,4,FALSE),"")</f>
        <v/>
      </c>
      <c r="S474" s="19"/>
      <c r="T474" s="19"/>
      <c r="U474" s="19"/>
      <c r="V474" s="19"/>
      <c r="W474" s="19"/>
      <c r="X474" s="19"/>
    </row>
    <row r="475" spans="1:24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 t="str">
        <f>IFERROR(VLOOKUP($K475,Parameters!$A$5:$D$101,3,FALSE),"")</f>
        <v/>
      </c>
      <c r="R475" s="19" t="str">
        <f>IFERROR(VLOOKUP($K475,Parameters!$A$5:$D$101,4,FALSE),"")</f>
        <v/>
      </c>
      <c r="S475" s="19"/>
      <c r="T475" s="19"/>
      <c r="U475" s="19"/>
      <c r="V475" s="19"/>
      <c r="W475" s="19"/>
      <c r="X475" s="19"/>
    </row>
    <row r="476" spans="1:24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 t="str">
        <f>IFERROR(VLOOKUP($K476,Parameters!$A$5:$D$101,3,FALSE),"")</f>
        <v/>
      </c>
      <c r="R476" s="19" t="str">
        <f>IFERROR(VLOOKUP($K476,Parameters!$A$5:$D$101,4,FALSE),"")</f>
        <v/>
      </c>
      <c r="S476" s="19"/>
      <c r="T476" s="19"/>
      <c r="U476" s="19"/>
      <c r="V476" s="19"/>
      <c r="W476" s="19"/>
      <c r="X476" s="19"/>
    </row>
    <row r="477" spans="1:24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 t="str">
        <f>IFERROR(VLOOKUP($K477,Parameters!$A$5:$D$101,3,FALSE),"")</f>
        <v/>
      </c>
      <c r="R477" s="19" t="str">
        <f>IFERROR(VLOOKUP($K477,Parameters!$A$5:$D$101,4,FALSE),"")</f>
        <v/>
      </c>
      <c r="S477" s="19"/>
      <c r="T477" s="19"/>
      <c r="U477" s="19"/>
      <c r="V477" s="19"/>
      <c r="W477" s="19"/>
      <c r="X477" s="19"/>
    </row>
    <row r="478" spans="1:24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 t="str">
        <f>IFERROR(VLOOKUP($K478,Parameters!$A$5:$D$101,3,FALSE),"")</f>
        <v/>
      </c>
      <c r="R478" s="19" t="str">
        <f>IFERROR(VLOOKUP($K478,Parameters!$A$5:$D$101,4,FALSE),"")</f>
        <v/>
      </c>
      <c r="S478" s="19"/>
      <c r="T478" s="19"/>
      <c r="U478" s="19"/>
      <c r="V478" s="19"/>
      <c r="W478" s="19"/>
      <c r="X478" s="19"/>
    </row>
    <row r="479" spans="1:24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 t="str">
        <f>IFERROR(VLOOKUP($K479,Parameters!$A$5:$D$101,3,FALSE),"")</f>
        <v/>
      </c>
      <c r="R479" s="19" t="str">
        <f>IFERROR(VLOOKUP($K479,Parameters!$A$5:$D$101,4,FALSE),"")</f>
        <v/>
      </c>
      <c r="S479" s="19"/>
      <c r="T479" s="19"/>
      <c r="U479" s="19"/>
      <c r="V479" s="19"/>
      <c r="W479" s="19"/>
      <c r="X479" s="19"/>
    </row>
    <row r="480" spans="1:24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 t="str">
        <f>IFERROR(VLOOKUP($K480,Parameters!$A$5:$D$101,3,FALSE),"")</f>
        <v/>
      </c>
      <c r="R480" s="19" t="str">
        <f>IFERROR(VLOOKUP($K480,Parameters!$A$5:$D$101,4,FALSE),"")</f>
        <v/>
      </c>
      <c r="S480" s="19"/>
      <c r="T480" s="19"/>
      <c r="U480" s="19"/>
      <c r="V480" s="19"/>
      <c r="W480" s="19"/>
      <c r="X480" s="19"/>
    </row>
    <row r="481" spans="1:24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 t="str">
        <f>IFERROR(VLOOKUP($K481,Parameters!$A$5:$D$101,3,FALSE),"")</f>
        <v/>
      </c>
      <c r="R481" s="19" t="str">
        <f>IFERROR(VLOOKUP($K481,Parameters!$A$5:$D$101,4,FALSE),"")</f>
        <v/>
      </c>
      <c r="S481" s="19"/>
      <c r="T481" s="19"/>
      <c r="U481" s="19"/>
      <c r="V481" s="19"/>
      <c r="W481" s="19"/>
      <c r="X481" s="19"/>
    </row>
    <row r="482" spans="1:24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 t="str">
        <f>IFERROR(VLOOKUP($K482,Parameters!$A$5:$D$101,3,FALSE),"")</f>
        <v/>
      </c>
      <c r="R482" s="19" t="str">
        <f>IFERROR(VLOOKUP($K482,Parameters!$A$5:$D$101,4,FALSE),"")</f>
        <v/>
      </c>
      <c r="S482" s="19"/>
      <c r="T482" s="19"/>
      <c r="U482" s="19"/>
      <c r="V482" s="19"/>
      <c r="W482" s="19"/>
      <c r="X482" s="19"/>
    </row>
    <row r="483" spans="1:24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 t="str">
        <f>IFERROR(VLOOKUP($K483,Parameters!$A$5:$D$101,3,FALSE),"")</f>
        <v/>
      </c>
      <c r="R483" s="19" t="str">
        <f>IFERROR(VLOOKUP($K483,Parameters!$A$5:$D$101,4,FALSE),"")</f>
        <v/>
      </c>
      <c r="S483" s="19"/>
      <c r="T483" s="19"/>
      <c r="U483" s="19"/>
      <c r="V483" s="19"/>
      <c r="W483" s="19"/>
      <c r="X483" s="19"/>
    </row>
    <row r="484" spans="1:2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 t="str">
        <f>IFERROR(VLOOKUP($K484,Parameters!$A$5:$D$101,3,FALSE),"")</f>
        <v/>
      </c>
      <c r="R484" s="19" t="str">
        <f>IFERROR(VLOOKUP($K484,Parameters!$A$5:$D$101,4,FALSE),"")</f>
        <v/>
      </c>
      <c r="S484" s="19"/>
      <c r="T484" s="19"/>
      <c r="U484" s="19"/>
      <c r="V484" s="19"/>
      <c r="W484" s="19"/>
      <c r="X484" s="19"/>
    </row>
    <row r="485" spans="1:24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 t="str">
        <f>IFERROR(VLOOKUP($K485,Parameters!$A$5:$D$101,3,FALSE),"")</f>
        <v/>
      </c>
      <c r="R485" s="19" t="str">
        <f>IFERROR(VLOOKUP($K485,Parameters!$A$5:$D$101,4,FALSE),"")</f>
        <v/>
      </c>
      <c r="S485" s="19"/>
      <c r="T485" s="19"/>
      <c r="U485" s="19"/>
      <c r="V485" s="19"/>
      <c r="W485" s="19"/>
      <c r="X485" s="19"/>
    </row>
    <row r="486" spans="1:24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 t="str">
        <f>IFERROR(VLOOKUP($K486,Parameters!$A$5:$D$101,3,FALSE),"")</f>
        <v/>
      </c>
      <c r="R486" s="19" t="str">
        <f>IFERROR(VLOOKUP($K486,Parameters!$A$5:$D$101,4,FALSE),"")</f>
        <v/>
      </c>
      <c r="S486" s="19"/>
      <c r="T486" s="19"/>
      <c r="U486" s="19"/>
      <c r="V486" s="19"/>
      <c r="W486" s="19"/>
      <c r="X486" s="19"/>
    </row>
    <row r="487" spans="1:24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 t="str">
        <f>IFERROR(VLOOKUP($K487,Parameters!$A$5:$D$101,3,FALSE),"")</f>
        <v/>
      </c>
      <c r="R487" s="19" t="str">
        <f>IFERROR(VLOOKUP($K487,Parameters!$A$5:$D$101,4,FALSE),"")</f>
        <v/>
      </c>
      <c r="S487" s="19"/>
      <c r="T487" s="19"/>
      <c r="U487" s="19"/>
      <c r="V487" s="19"/>
      <c r="W487" s="19"/>
      <c r="X487" s="19"/>
    </row>
    <row r="488" spans="1:24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 t="str">
        <f>IFERROR(VLOOKUP($K488,Parameters!$A$5:$D$101,3,FALSE),"")</f>
        <v/>
      </c>
      <c r="R488" s="19" t="str">
        <f>IFERROR(VLOOKUP($K488,Parameters!$A$5:$D$101,4,FALSE),"")</f>
        <v/>
      </c>
      <c r="S488" s="19"/>
      <c r="T488" s="19"/>
      <c r="U488" s="19"/>
      <c r="V488" s="19"/>
      <c r="W488" s="19"/>
      <c r="X488" s="19"/>
    </row>
    <row r="489" spans="1:24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 t="str">
        <f>IFERROR(VLOOKUP($K489,Parameters!$A$5:$D$101,3,FALSE),"")</f>
        <v/>
      </c>
      <c r="R489" s="19" t="str">
        <f>IFERROR(VLOOKUP($K489,Parameters!$A$5:$D$101,4,FALSE),"")</f>
        <v/>
      </c>
      <c r="S489" s="19"/>
      <c r="T489" s="19"/>
      <c r="U489" s="19"/>
      <c r="V489" s="19"/>
      <c r="W489" s="19"/>
      <c r="X489" s="19"/>
    </row>
    <row r="490" spans="1:24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 t="str">
        <f>IFERROR(VLOOKUP($K490,Parameters!$A$5:$D$101,3,FALSE),"")</f>
        <v/>
      </c>
      <c r="R490" s="19" t="str">
        <f>IFERROR(VLOOKUP($K490,Parameters!$A$5:$D$101,4,FALSE),"")</f>
        <v/>
      </c>
      <c r="S490" s="19"/>
      <c r="T490" s="19"/>
      <c r="U490" s="19"/>
      <c r="V490" s="19"/>
      <c r="W490" s="19"/>
      <c r="X490" s="19"/>
    </row>
    <row r="491" spans="1:24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 t="str">
        <f>IFERROR(VLOOKUP($K491,Parameters!$A$5:$D$101,3,FALSE),"")</f>
        <v/>
      </c>
      <c r="R491" s="19" t="str">
        <f>IFERROR(VLOOKUP($K491,Parameters!$A$5:$D$101,4,FALSE),"")</f>
        <v/>
      </c>
      <c r="S491" s="19"/>
      <c r="T491" s="19"/>
      <c r="U491" s="19"/>
      <c r="V491" s="19"/>
      <c r="W491" s="19"/>
      <c r="X491" s="19"/>
    </row>
    <row r="492" spans="1:24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 t="str">
        <f>IFERROR(VLOOKUP($K492,Parameters!$A$5:$D$101,3,FALSE),"")</f>
        <v/>
      </c>
      <c r="R492" s="19" t="str">
        <f>IFERROR(VLOOKUP($K492,Parameters!$A$5:$D$101,4,FALSE),"")</f>
        <v/>
      </c>
      <c r="S492" s="19"/>
      <c r="T492" s="19"/>
      <c r="U492" s="19"/>
      <c r="V492" s="19"/>
      <c r="W492" s="19"/>
      <c r="X492" s="19"/>
    </row>
    <row r="493" spans="1:24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 t="str">
        <f>IFERROR(VLOOKUP($K493,Parameters!$A$5:$D$101,3,FALSE),"")</f>
        <v/>
      </c>
      <c r="R493" s="19" t="str">
        <f>IFERROR(VLOOKUP($K493,Parameters!$A$5:$D$101,4,FALSE),"")</f>
        <v/>
      </c>
      <c r="S493" s="19"/>
      <c r="T493" s="19"/>
      <c r="U493" s="19"/>
      <c r="V493" s="19"/>
      <c r="W493" s="19"/>
      <c r="X493" s="19"/>
    </row>
    <row r="494" spans="1:2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 t="str">
        <f>IFERROR(VLOOKUP($K494,Parameters!$A$5:$D$101,3,FALSE),"")</f>
        <v/>
      </c>
      <c r="R494" s="19" t="str">
        <f>IFERROR(VLOOKUP($K494,Parameters!$A$5:$D$101,4,FALSE),"")</f>
        <v/>
      </c>
      <c r="S494" s="19"/>
      <c r="T494" s="19"/>
      <c r="U494" s="19"/>
      <c r="V494" s="19"/>
      <c r="W494" s="19"/>
      <c r="X494" s="19"/>
    </row>
    <row r="495" spans="1:24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 t="str">
        <f>IFERROR(VLOOKUP($K495,Parameters!$A$5:$D$101,3,FALSE),"")</f>
        <v/>
      </c>
      <c r="R495" s="19" t="str">
        <f>IFERROR(VLOOKUP($K495,Parameters!$A$5:$D$101,4,FALSE),"")</f>
        <v/>
      </c>
      <c r="S495" s="19"/>
      <c r="T495" s="19"/>
      <c r="U495" s="19"/>
      <c r="V495" s="19"/>
      <c r="W495" s="19"/>
      <c r="X495" s="19"/>
    </row>
    <row r="496" spans="1:24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 t="str">
        <f>IFERROR(VLOOKUP($K496,Parameters!$A$5:$D$101,3,FALSE),"")</f>
        <v/>
      </c>
      <c r="R496" s="19" t="str">
        <f>IFERROR(VLOOKUP($K496,Parameters!$A$5:$D$101,4,FALSE),"")</f>
        <v/>
      </c>
      <c r="S496" s="19"/>
      <c r="T496" s="19"/>
      <c r="U496" s="19"/>
      <c r="V496" s="19"/>
      <c r="W496" s="19"/>
      <c r="X496" s="19"/>
    </row>
    <row r="497" spans="1:24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 t="str">
        <f>IFERROR(VLOOKUP($K497,Parameters!$A$5:$D$101,3,FALSE),"")</f>
        <v/>
      </c>
      <c r="R497" s="19" t="str">
        <f>IFERROR(VLOOKUP($K497,Parameters!$A$5:$D$101,4,FALSE),"")</f>
        <v/>
      </c>
      <c r="S497" s="19"/>
      <c r="T497" s="19"/>
      <c r="U497" s="19"/>
      <c r="V497" s="19"/>
      <c r="W497" s="19"/>
      <c r="X497" s="19"/>
    </row>
    <row r="498" spans="1:24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 t="str">
        <f>IFERROR(VLOOKUP($K498,Parameters!$A$5:$D$101,3,FALSE),"")</f>
        <v/>
      </c>
      <c r="R498" s="19" t="str">
        <f>IFERROR(VLOOKUP($K498,Parameters!$A$5:$D$101,4,FALSE),"")</f>
        <v/>
      </c>
      <c r="S498" s="19"/>
      <c r="T498" s="19"/>
      <c r="U498" s="19"/>
      <c r="V498" s="19"/>
      <c r="W498" s="19"/>
      <c r="X498" s="19"/>
    </row>
    <row r="499" spans="1:24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 t="str">
        <f>IFERROR(VLOOKUP($K499,Parameters!$A$5:$D$101,3,FALSE),"")</f>
        <v/>
      </c>
      <c r="R499" s="19" t="str">
        <f>IFERROR(VLOOKUP($K499,Parameters!$A$5:$D$101,4,FALSE),"")</f>
        <v/>
      </c>
      <c r="S499" s="19"/>
      <c r="T499" s="19"/>
      <c r="U499" s="19"/>
      <c r="V499" s="19"/>
      <c r="W499" s="19"/>
      <c r="X499" s="19"/>
    </row>
    <row r="500" spans="1:24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 t="str">
        <f>IFERROR(VLOOKUP($K500,Parameters!$A$5:$D$101,3,FALSE),"")</f>
        <v/>
      </c>
      <c r="R500" s="19" t="str">
        <f>IFERROR(VLOOKUP($K500,Parameters!$A$5:$D$101,4,FALSE),"")</f>
        <v/>
      </c>
      <c r="S500" s="19"/>
      <c r="T500" s="19"/>
      <c r="U500" s="19"/>
      <c r="V500" s="19"/>
      <c r="W500" s="19"/>
      <c r="X500" s="19"/>
    </row>
    <row r="501" spans="1:24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 t="str">
        <f>IFERROR(VLOOKUP($K501,Parameters!$A$5:$D$101,3,FALSE),"")</f>
        <v/>
      </c>
      <c r="R501" s="19" t="str">
        <f>IFERROR(VLOOKUP($K501,Parameters!$A$5:$D$101,4,FALSE),"")</f>
        <v/>
      </c>
      <c r="S501" s="19"/>
      <c r="T501" s="19"/>
      <c r="U501" s="19"/>
      <c r="V501" s="19"/>
      <c r="W501" s="19"/>
      <c r="X501" s="19"/>
    </row>
    <row r="502" spans="1:24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 t="str">
        <f>IFERROR(VLOOKUP($K502,Parameters!$A$5:$D$101,3,FALSE),"")</f>
        <v/>
      </c>
      <c r="R502" s="19" t="str">
        <f>IFERROR(VLOOKUP($K502,Parameters!$A$5:$D$101,4,FALSE),"")</f>
        <v/>
      </c>
      <c r="S502" s="19"/>
      <c r="T502" s="19"/>
      <c r="U502" s="19"/>
      <c r="V502" s="19"/>
      <c r="W502" s="19"/>
      <c r="X502" s="19"/>
    </row>
    <row r="503" spans="1:24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 t="str">
        <f>IFERROR(VLOOKUP($K503,Parameters!$A$5:$D$101,3,FALSE),"")</f>
        <v/>
      </c>
      <c r="R503" s="19" t="str">
        <f>IFERROR(VLOOKUP($K503,Parameters!$A$5:$D$101,4,FALSE),"")</f>
        <v/>
      </c>
      <c r="S503" s="19"/>
      <c r="T503" s="19"/>
      <c r="U503" s="19"/>
      <c r="V503" s="19"/>
      <c r="W503" s="19"/>
      <c r="X503" s="19"/>
    </row>
    <row r="504" spans="1:2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 t="str">
        <f>IFERROR(VLOOKUP($K504,Parameters!$A$5:$D$101,3,FALSE),"")</f>
        <v/>
      </c>
      <c r="R504" s="19" t="str">
        <f>IFERROR(VLOOKUP($K504,Parameters!$A$5:$D$101,4,FALSE),"")</f>
        <v/>
      </c>
      <c r="S504" s="19"/>
      <c r="T504" s="19"/>
      <c r="U504" s="19"/>
      <c r="V504" s="19"/>
      <c r="W504" s="19"/>
      <c r="X504" s="19"/>
    </row>
    <row r="505" spans="1:24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 t="str">
        <f>IFERROR(VLOOKUP($K505,Parameters!$A$5:$D$101,3,FALSE),"")</f>
        <v/>
      </c>
      <c r="R505" s="19" t="str">
        <f>IFERROR(VLOOKUP($K505,Parameters!$A$5:$D$101,4,FALSE),"")</f>
        <v/>
      </c>
      <c r="S505" s="19"/>
      <c r="T505" s="19"/>
      <c r="U505" s="19"/>
      <c r="V505" s="19"/>
      <c r="W505" s="19"/>
      <c r="X505" s="19"/>
    </row>
    <row r="506" spans="1:24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 t="str">
        <f>IFERROR(VLOOKUP($K506,Parameters!$A$5:$D$101,3,FALSE),"")</f>
        <v/>
      </c>
      <c r="R506" s="19" t="str">
        <f>IFERROR(VLOOKUP($K506,Parameters!$A$5:$D$101,4,FALSE),"")</f>
        <v/>
      </c>
      <c r="S506" s="19"/>
      <c r="T506" s="19"/>
      <c r="U506" s="19"/>
      <c r="V506" s="19"/>
      <c r="W506" s="19"/>
      <c r="X506" s="19"/>
    </row>
    <row r="507" spans="1:24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 t="str">
        <f>IFERROR(VLOOKUP($K507,Parameters!$A$5:$D$101,3,FALSE),"")</f>
        <v/>
      </c>
      <c r="R507" s="19" t="str">
        <f>IFERROR(VLOOKUP($K507,Parameters!$A$5:$D$101,4,FALSE),"")</f>
        <v/>
      </c>
      <c r="S507" s="19"/>
      <c r="T507" s="19"/>
      <c r="U507" s="19"/>
      <c r="V507" s="19"/>
      <c r="W507" s="19"/>
      <c r="X507" s="19"/>
    </row>
    <row r="508" spans="1:24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 t="str">
        <f>IFERROR(VLOOKUP($K508,Parameters!$A$5:$D$101,3,FALSE),"")</f>
        <v/>
      </c>
      <c r="R508" s="19" t="str">
        <f>IFERROR(VLOOKUP($K508,Parameters!$A$5:$D$101,4,FALSE),"")</f>
        <v/>
      </c>
      <c r="S508" s="19"/>
      <c r="T508" s="19"/>
      <c r="U508" s="19"/>
      <c r="V508" s="19"/>
      <c r="W508" s="19"/>
      <c r="X508" s="19"/>
    </row>
    <row r="509" spans="1:24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 t="str">
        <f>IFERROR(VLOOKUP($K509,Parameters!$A$5:$D$101,3,FALSE),"")</f>
        <v/>
      </c>
      <c r="R509" s="19" t="str">
        <f>IFERROR(VLOOKUP($K509,Parameters!$A$5:$D$101,4,FALSE),"")</f>
        <v/>
      </c>
      <c r="S509" s="19"/>
      <c r="T509" s="19"/>
      <c r="U509" s="19"/>
      <c r="V509" s="19"/>
      <c r="W509" s="19"/>
      <c r="X509" s="19"/>
    </row>
    <row r="510" spans="1:24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 t="str">
        <f>IFERROR(VLOOKUP($K510,Parameters!$A$5:$D$101,3,FALSE),"")</f>
        <v/>
      </c>
      <c r="R510" s="19" t="str">
        <f>IFERROR(VLOOKUP($K510,Parameters!$A$5:$D$101,4,FALSE),"")</f>
        <v/>
      </c>
      <c r="S510" s="19"/>
      <c r="T510" s="19"/>
      <c r="U510" s="19"/>
      <c r="V510" s="19"/>
      <c r="W510" s="19"/>
      <c r="X510" s="19"/>
    </row>
    <row r="511" spans="1:24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 t="str">
        <f>IFERROR(VLOOKUP($K511,Parameters!$A$5:$D$101,3,FALSE),"")</f>
        <v/>
      </c>
      <c r="R511" s="19" t="str">
        <f>IFERROR(VLOOKUP($K511,Parameters!$A$5:$D$101,4,FALSE),"")</f>
        <v/>
      </c>
      <c r="S511" s="19"/>
      <c r="T511" s="19"/>
      <c r="U511" s="19"/>
      <c r="V511" s="19"/>
      <c r="W511" s="19"/>
      <c r="X511" s="19"/>
    </row>
    <row r="512" spans="1:24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 t="str">
        <f>IFERROR(VLOOKUP($K512,Parameters!$A$5:$D$101,3,FALSE),"")</f>
        <v/>
      </c>
      <c r="R512" s="19" t="str">
        <f>IFERROR(VLOOKUP($K512,Parameters!$A$5:$D$101,4,FALSE),"")</f>
        <v/>
      </c>
      <c r="S512" s="19"/>
      <c r="T512" s="19"/>
      <c r="U512" s="19"/>
      <c r="V512" s="19"/>
      <c r="W512" s="19"/>
      <c r="X512" s="19"/>
    </row>
    <row r="513" spans="1:24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 t="str">
        <f>IFERROR(VLOOKUP($K513,Parameters!$A$5:$D$101,3,FALSE),"")</f>
        <v/>
      </c>
      <c r="R513" s="19" t="str">
        <f>IFERROR(VLOOKUP($K513,Parameters!$A$5:$D$101,4,FALSE),"")</f>
        <v/>
      </c>
      <c r="S513" s="19"/>
      <c r="T513" s="19"/>
      <c r="U513" s="19"/>
      <c r="V513" s="19"/>
      <c r="W513" s="19"/>
      <c r="X513" s="19"/>
    </row>
    <row r="514" spans="1:2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 t="str">
        <f>IFERROR(VLOOKUP($K514,Parameters!$A$5:$D$101,3,FALSE),"")</f>
        <v/>
      </c>
      <c r="R514" s="19" t="str">
        <f>IFERROR(VLOOKUP($K514,Parameters!$A$5:$D$101,4,FALSE),"")</f>
        <v/>
      </c>
      <c r="S514" s="19"/>
      <c r="T514" s="19"/>
      <c r="U514" s="19"/>
      <c r="V514" s="19"/>
      <c r="W514" s="19"/>
      <c r="X514" s="19"/>
    </row>
    <row r="515" spans="1:24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 t="str">
        <f>IFERROR(VLOOKUP($K515,Parameters!$A$5:$D$101,3,FALSE),"")</f>
        <v/>
      </c>
      <c r="R515" s="19" t="str">
        <f>IFERROR(VLOOKUP($K515,Parameters!$A$5:$D$101,4,FALSE),"")</f>
        <v/>
      </c>
      <c r="S515" s="19"/>
      <c r="T515" s="19"/>
      <c r="U515" s="19"/>
      <c r="V515" s="19"/>
      <c r="W515" s="19"/>
      <c r="X515" s="19"/>
    </row>
    <row r="516" spans="1:24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 t="str">
        <f>IFERROR(VLOOKUP($K516,Parameters!$A$5:$D$101,3,FALSE),"")</f>
        <v/>
      </c>
      <c r="R516" s="19" t="str">
        <f>IFERROR(VLOOKUP($K516,Parameters!$A$5:$D$101,4,FALSE),"")</f>
        <v/>
      </c>
      <c r="S516" s="19"/>
      <c r="T516" s="19"/>
      <c r="U516" s="19"/>
      <c r="V516" s="19"/>
      <c r="W516" s="19"/>
      <c r="X516" s="19"/>
    </row>
    <row r="517" spans="1:24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 t="str">
        <f>IFERROR(VLOOKUP($K517,Parameters!$A$5:$D$101,3,FALSE),"")</f>
        <v/>
      </c>
      <c r="R517" s="19" t="str">
        <f>IFERROR(VLOOKUP($K517,Parameters!$A$5:$D$101,4,FALSE),"")</f>
        <v/>
      </c>
      <c r="S517" s="19"/>
      <c r="T517" s="19"/>
      <c r="U517" s="19"/>
      <c r="V517" s="19"/>
      <c r="W517" s="19"/>
      <c r="X517" s="19"/>
    </row>
    <row r="518" spans="1:24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 t="str">
        <f>IFERROR(VLOOKUP($K518,Parameters!$A$5:$D$101,3,FALSE),"")</f>
        <v/>
      </c>
      <c r="R518" s="19" t="str">
        <f>IFERROR(VLOOKUP($K518,Parameters!$A$5:$D$101,4,FALSE),"")</f>
        <v/>
      </c>
      <c r="S518" s="19"/>
      <c r="T518" s="19"/>
      <c r="U518" s="19"/>
      <c r="V518" s="19"/>
      <c r="W518" s="19"/>
      <c r="X518" s="19"/>
    </row>
    <row r="519" spans="1:24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 t="str">
        <f>IFERROR(VLOOKUP($K519,Parameters!$A$5:$D$101,3,FALSE),"")</f>
        <v/>
      </c>
      <c r="R519" s="19" t="str">
        <f>IFERROR(VLOOKUP($K519,Parameters!$A$5:$D$101,4,FALSE),"")</f>
        <v/>
      </c>
      <c r="S519" s="19"/>
      <c r="T519" s="19"/>
      <c r="U519" s="19"/>
      <c r="V519" s="19"/>
      <c r="W519" s="19"/>
      <c r="X519" s="19"/>
    </row>
    <row r="520" spans="1:24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 t="str">
        <f>IFERROR(VLOOKUP($K520,Parameters!$A$5:$D$101,3,FALSE),"")</f>
        <v/>
      </c>
      <c r="R520" s="19" t="str">
        <f>IFERROR(VLOOKUP($K520,Parameters!$A$5:$D$101,4,FALSE),"")</f>
        <v/>
      </c>
      <c r="S520" s="19"/>
      <c r="T520" s="19"/>
      <c r="U520" s="19"/>
      <c r="V520" s="19"/>
      <c r="W520" s="19"/>
      <c r="X520" s="19"/>
    </row>
    <row r="521" spans="1:24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 t="str">
        <f>IFERROR(VLOOKUP($K521,Parameters!$A$5:$D$101,3,FALSE),"")</f>
        <v/>
      </c>
      <c r="R521" s="19" t="str">
        <f>IFERROR(VLOOKUP($K521,Parameters!$A$5:$D$101,4,FALSE),"")</f>
        <v/>
      </c>
      <c r="S521" s="19"/>
      <c r="T521" s="19"/>
      <c r="U521" s="19"/>
      <c r="V521" s="19"/>
      <c r="W521" s="19"/>
      <c r="X521" s="19"/>
    </row>
    <row r="522" spans="1:24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 t="str">
        <f>IFERROR(VLOOKUP($K522,Parameters!$A$5:$D$101,3,FALSE),"")</f>
        <v/>
      </c>
      <c r="R522" s="19" t="str">
        <f>IFERROR(VLOOKUP($K522,Parameters!$A$5:$D$101,4,FALSE),"")</f>
        <v/>
      </c>
      <c r="S522" s="19"/>
      <c r="T522" s="19"/>
      <c r="U522" s="19"/>
      <c r="V522" s="19"/>
      <c r="W522" s="19"/>
      <c r="X522" s="19"/>
    </row>
    <row r="523" spans="1:24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 t="str">
        <f>IFERROR(VLOOKUP($K523,Parameters!$A$5:$D$101,3,FALSE),"")</f>
        <v/>
      </c>
      <c r="R523" s="19" t="str">
        <f>IFERROR(VLOOKUP($K523,Parameters!$A$5:$D$101,4,FALSE),"")</f>
        <v/>
      </c>
      <c r="S523" s="19"/>
      <c r="T523" s="19"/>
      <c r="U523" s="19"/>
      <c r="V523" s="19"/>
      <c r="W523" s="19"/>
      <c r="X523" s="19"/>
    </row>
    <row r="524" spans="1: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 t="str">
        <f>IFERROR(VLOOKUP($K524,Parameters!$A$5:$D$101,3,FALSE),"")</f>
        <v/>
      </c>
      <c r="R524" s="19" t="str">
        <f>IFERROR(VLOOKUP($K524,Parameters!$A$5:$D$101,4,FALSE),"")</f>
        <v/>
      </c>
      <c r="S524" s="19"/>
      <c r="T524" s="19"/>
      <c r="U524" s="19"/>
      <c r="V524" s="19"/>
      <c r="W524" s="19"/>
      <c r="X524" s="19"/>
    </row>
    <row r="525" spans="1:24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 t="str">
        <f>IFERROR(VLOOKUP($K525,Parameters!$A$5:$D$101,3,FALSE),"")</f>
        <v/>
      </c>
      <c r="R525" s="19" t="str">
        <f>IFERROR(VLOOKUP($K525,Parameters!$A$5:$D$101,4,FALSE),"")</f>
        <v/>
      </c>
      <c r="S525" s="19"/>
      <c r="T525" s="19"/>
      <c r="U525" s="19"/>
      <c r="V525" s="19"/>
      <c r="W525" s="19"/>
      <c r="X525" s="19"/>
    </row>
    <row r="526" spans="1:24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 t="str">
        <f>IFERROR(VLOOKUP($K526,Parameters!$A$5:$D$101,3,FALSE),"")</f>
        <v/>
      </c>
      <c r="R526" s="19" t="str">
        <f>IFERROR(VLOOKUP($K526,Parameters!$A$5:$D$101,4,FALSE),"")</f>
        <v/>
      </c>
      <c r="S526" s="19"/>
      <c r="T526" s="19"/>
      <c r="U526" s="19"/>
      <c r="V526" s="19"/>
      <c r="W526" s="19"/>
      <c r="X526" s="19"/>
    </row>
    <row r="527" spans="1:24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 t="str">
        <f>IFERROR(VLOOKUP($K527,Parameters!$A$5:$D$101,3,FALSE),"")</f>
        <v/>
      </c>
      <c r="R527" s="19" t="str">
        <f>IFERROR(VLOOKUP($K527,Parameters!$A$5:$D$101,4,FALSE),"")</f>
        <v/>
      </c>
      <c r="S527" s="19"/>
      <c r="T527" s="19"/>
      <c r="U527" s="19"/>
      <c r="V527" s="19"/>
      <c r="W527" s="19"/>
      <c r="X527" s="19"/>
    </row>
    <row r="528" spans="1:24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 t="str">
        <f>IFERROR(VLOOKUP($K528,Parameters!$A$5:$D$101,3,FALSE),"")</f>
        <v/>
      </c>
      <c r="R528" s="19" t="str">
        <f>IFERROR(VLOOKUP($K528,Parameters!$A$5:$D$101,4,FALSE),"")</f>
        <v/>
      </c>
      <c r="S528" s="19"/>
      <c r="T528" s="19"/>
      <c r="U528" s="19"/>
      <c r="V528" s="19"/>
      <c r="W528" s="19"/>
      <c r="X528" s="19"/>
    </row>
    <row r="529" spans="1:24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 t="str">
        <f>IFERROR(VLOOKUP($K529,Parameters!$A$5:$D$101,3,FALSE),"")</f>
        <v/>
      </c>
      <c r="R529" s="19" t="str">
        <f>IFERROR(VLOOKUP($K529,Parameters!$A$5:$D$101,4,FALSE),"")</f>
        <v/>
      </c>
      <c r="S529" s="19"/>
      <c r="T529" s="19"/>
      <c r="U529" s="19"/>
      <c r="V529" s="19"/>
      <c r="W529" s="19"/>
      <c r="X529" s="19"/>
    </row>
    <row r="530" spans="1:24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 t="str">
        <f>IFERROR(VLOOKUP($K530,Parameters!$A$5:$D$101,3,FALSE),"")</f>
        <v/>
      </c>
      <c r="R530" s="19" t="str">
        <f>IFERROR(VLOOKUP($K530,Parameters!$A$5:$D$101,4,FALSE),"")</f>
        <v/>
      </c>
      <c r="S530" s="19"/>
      <c r="T530" s="19"/>
      <c r="U530" s="19"/>
      <c r="V530" s="19"/>
      <c r="W530" s="19"/>
      <c r="X530" s="19"/>
    </row>
    <row r="531" spans="1:24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 t="str">
        <f>IFERROR(VLOOKUP($K531,Parameters!$A$5:$D$101,3,FALSE),"")</f>
        <v/>
      </c>
      <c r="R531" s="19" t="str">
        <f>IFERROR(VLOOKUP($K531,Parameters!$A$5:$D$101,4,FALSE),"")</f>
        <v/>
      </c>
      <c r="S531" s="19"/>
      <c r="T531" s="19"/>
      <c r="U531" s="19"/>
      <c r="V531" s="19"/>
      <c r="W531" s="19"/>
      <c r="X531" s="19"/>
    </row>
    <row r="532" spans="1:24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 t="str">
        <f>IFERROR(VLOOKUP($K532,Parameters!$A$5:$D$101,3,FALSE),"")</f>
        <v/>
      </c>
      <c r="R532" s="19" t="str">
        <f>IFERROR(VLOOKUP($K532,Parameters!$A$5:$D$101,4,FALSE),"")</f>
        <v/>
      </c>
      <c r="S532" s="19"/>
      <c r="T532" s="19"/>
      <c r="U532" s="19"/>
      <c r="V532" s="19"/>
      <c r="W532" s="19"/>
      <c r="X532" s="19"/>
    </row>
    <row r="533" spans="1:24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 t="str">
        <f>IFERROR(VLOOKUP($K533,Parameters!$A$5:$D$101,3,FALSE),"")</f>
        <v/>
      </c>
      <c r="R533" s="19" t="str">
        <f>IFERROR(VLOOKUP($K533,Parameters!$A$5:$D$101,4,FALSE),"")</f>
        <v/>
      </c>
      <c r="S533" s="19"/>
      <c r="T533" s="19"/>
      <c r="U533" s="19"/>
      <c r="V533" s="19"/>
      <c r="W533" s="19"/>
      <c r="X533" s="19"/>
    </row>
    <row r="534" spans="1:2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 t="str">
        <f>IFERROR(VLOOKUP($K534,Parameters!$A$5:$D$101,3,FALSE),"")</f>
        <v/>
      </c>
      <c r="R534" s="19" t="str">
        <f>IFERROR(VLOOKUP($K534,Parameters!$A$5:$D$101,4,FALSE),"")</f>
        <v/>
      </c>
      <c r="S534" s="19"/>
      <c r="T534" s="19"/>
      <c r="U534" s="19"/>
      <c r="V534" s="19"/>
      <c r="W534" s="19"/>
      <c r="X534" s="19"/>
    </row>
    <row r="535" spans="1:24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 t="str">
        <f>IFERROR(VLOOKUP($K535,Parameters!$A$5:$D$101,3,FALSE),"")</f>
        <v/>
      </c>
      <c r="R535" s="19" t="str">
        <f>IFERROR(VLOOKUP($K535,Parameters!$A$5:$D$101,4,FALSE),"")</f>
        <v/>
      </c>
      <c r="S535" s="19"/>
      <c r="T535" s="19"/>
      <c r="U535" s="19"/>
      <c r="V535" s="19"/>
      <c r="W535" s="19"/>
      <c r="X535" s="19"/>
    </row>
    <row r="536" spans="1:24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 t="str">
        <f>IFERROR(VLOOKUP($K536,Parameters!$A$5:$D$101,3,FALSE),"")</f>
        <v/>
      </c>
      <c r="R536" s="19" t="str">
        <f>IFERROR(VLOOKUP($K536,Parameters!$A$5:$D$101,4,FALSE),"")</f>
        <v/>
      </c>
      <c r="S536" s="19"/>
      <c r="T536" s="19"/>
      <c r="U536" s="19"/>
      <c r="V536" s="19"/>
      <c r="W536" s="19"/>
      <c r="X536" s="19"/>
    </row>
    <row r="537" spans="1:24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 t="str">
        <f>IFERROR(VLOOKUP($K537,Parameters!$A$5:$D$101,3,FALSE),"")</f>
        <v/>
      </c>
      <c r="R537" s="19" t="str">
        <f>IFERROR(VLOOKUP($K537,Parameters!$A$5:$D$101,4,FALSE),"")</f>
        <v/>
      </c>
      <c r="S537" s="19"/>
      <c r="T537" s="19"/>
      <c r="U537" s="19"/>
      <c r="V537" s="19"/>
      <c r="W537" s="19"/>
      <c r="X537" s="19"/>
    </row>
    <row r="538" spans="1:24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 t="str">
        <f>IFERROR(VLOOKUP($K538,Parameters!$A$5:$D$101,3,FALSE),"")</f>
        <v/>
      </c>
      <c r="R538" s="19" t="str">
        <f>IFERROR(VLOOKUP($K538,Parameters!$A$5:$D$101,4,FALSE),"")</f>
        <v/>
      </c>
      <c r="S538" s="19"/>
      <c r="T538" s="19"/>
      <c r="U538" s="19"/>
      <c r="V538" s="19"/>
      <c r="W538" s="19"/>
      <c r="X538" s="19"/>
    </row>
    <row r="539" spans="1:24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 t="str">
        <f>IFERROR(VLOOKUP($K539,Parameters!$A$5:$D$101,3,FALSE),"")</f>
        <v/>
      </c>
      <c r="R539" s="19" t="str">
        <f>IFERROR(VLOOKUP($K539,Parameters!$A$5:$D$101,4,FALSE),"")</f>
        <v/>
      </c>
      <c r="S539" s="19"/>
      <c r="T539" s="19"/>
      <c r="U539" s="19"/>
      <c r="V539" s="19"/>
      <c r="W539" s="19"/>
      <c r="X539" s="19"/>
    </row>
    <row r="540" spans="1:24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 t="str">
        <f>IFERROR(VLOOKUP($K540,Parameters!$A$5:$D$101,3,FALSE),"")</f>
        <v/>
      </c>
      <c r="R540" s="19" t="str">
        <f>IFERROR(VLOOKUP($K540,Parameters!$A$5:$D$101,4,FALSE),"")</f>
        <v/>
      </c>
      <c r="S540" s="19"/>
      <c r="T540" s="19"/>
      <c r="U540" s="19"/>
      <c r="V540" s="19"/>
      <c r="W540" s="19"/>
      <c r="X540" s="19"/>
    </row>
    <row r="541" spans="1:24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 t="str">
        <f>IFERROR(VLOOKUP($K541,Parameters!$A$5:$D$101,3,FALSE),"")</f>
        <v/>
      </c>
      <c r="R541" s="19" t="str">
        <f>IFERROR(VLOOKUP($K541,Parameters!$A$5:$D$101,4,FALSE),"")</f>
        <v/>
      </c>
      <c r="S541" s="19"/>
      <c r="T541" s="19"/>
      <c r="U541" s="19"/>
      <c r="V541" s="19"/>
      <c r="W541" s="19"/>
      <c r="X541" s="19"/>
    </row>
    <row r="542" spans="1:24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 t="str">
        <f>IFERROR(VLOOKUP($K542,Parameters!$A$5:$D$101,3,FALSE),"")</f>
        <v/>
      </c>
      <c r="R542" s="19" t="str">
        <f>IFERROR(VLOOKUP($K542,Parameters!$A$5:$D$101,4,FALSE),"")</f>
        <v/>
      </c>
      <c r="S542" s="19"/>
      <c r="T542" s="19"/>
      <c r="U542" s="19"/>
      <c r="V542" s="19"/>
      <c r="W542" s="19"/>
      <c r="X542" s="19"/>
    </row>
    <row r="543" spans="1:24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 t="str">
        <f>IFERROR(VLOOKUP($K543,Parameters!$A$5:$D$101,3,FALSE),"")</f>
        <v/>
      </c>
      <c r="R543" s="19" t="str">
        <f>IFERROR(VLOOKUP($K543,Parameters!$A$5:$D$101,4,FALSE),"")</f>
        <v/>
      </c>
      <c r="S543" s="19"/>
      <c r="T543" s="19"/>
      <c r="U543" s="19"/>
      <c r="V543" s="19"/>
      <c r="W543" s="19"/>
      <c r="X543" s="19"/>
    </row>
    <row r="544" spans="1:2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 t="str">
        <f>IFERROR(VLOOKUP($K544,Parameters!$A$5:$D$101,3,FALSE),"")</f>
        <v/>
      </c>
      <c r="R544" s="19" t="str">
        <f>IFERROR(VLOOKUP($K544,Parameters!$A$5:$D$101,4,FALSE),"")</f>
        <v/>
      </c>
      <c r="S544" s="19"/>
      <c r="T544" s="19"/>
      <c r="U544" s="19"/>
      <c r="V544" s="19"/>
      <c r="W544" s="19"/>
      <c r="X544" s="19"/>
    </row>
    <row r="545" spans="1:24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 t="str">
        <f>IFERROR(VLOOKUP($K545,Parameters!$A$5:$D$101,3,FALSE),"")</f>
        <v/>
      </c>
      <c r="R545" s="19" t="str">
        <f>IFERROR(VLOOKUP($K545,Parameters!$A$5:$D$101,4,FALSE),"")</f>
        <v/>
      </c>
      <c r="S545" s="19"/>
      <c r="T545" s="19"/>
      <c r="U545" s="19"/>
      <c r="V545" s="19"/>
      <c r="W545" s="19"/>
      <c r="X545" s="19"/>
    </row>
    <row r="546" spans="1:24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 t="str">
        <f>IFERROR(VLOOKUP($K546,Parameters!$A$5:$D$101,3,FALSE),"")</f>
        <v/>
      </c>
      <c r="R546" s="19" t="str">
        <f>IFERROR(VLOOKUP($K546,Parameters!$A$5:$D$101,4,FALSE),"")</f>
        <v/>
      </c>
      <c r="S546" s="19"/>
      <c r="T546" s="19"/>
      <c r="U546" s="19"/>
      <c r="V546" s="19"/>
      <c r="W546" s="19"/>
      <c r="X546" s="19"/>
    </row>
    <row r="547" spans="1:24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 t="str">
        <f>IFERROR(VLOOKUP($K547,Parameters!$A$5:$D$101,3,FALSE),"")</f>
        <v/>
      </c>
      <c r="R547" s="19" t="str">
        <f>IFERROR(VLOOKUP($K547,Parameters!$A$5:$D$101,4,FALSE),"")</f>
        <v/>
      </c>
      <c r="S547" s="19"/>
      <c r="T547" s="19"/>
      <c r="U547" s="19"/>
      <c r="V547" s="19"/>
      <c r="W547" s="19"/>
      <c r="X547" s="19"/>
    </row>
    <row r="548" spans="1:24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 t="str">
        <f>IFERROR(VLOOKUP($K548,Parameters!$A$5:$D$101,3,FALSE),"")</f>
        <v/>
      </c>
      <c r="R548" s="19" t="str">
        <f>IFERROR(VLOOKUP($K548,Parameters!$A$5:$D$101,4,FALSE),"")</f>
        <v/>
      </c>
      <c r="S548" s="19"/>
      <c r="T548" s="19"/>
      <c r="U548" s="19"/>
      <c r="V548" s="19"/>
      <c r="W548" s="19"/>
      <c r="X548" s="19"/>
    </row>
    <row r="549" spans="1:24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 t="str">
        <f>IFERROR(VLOOKUP($K549,Parameters!$A$5:$D$101,3,FALSE),"")</f>
        <v/>
      </c>
      <c r="R549" s="19" t="str">
        <f>IFERROR(VLOOKUP($K549,Parameters!$A$5:$D$101,4,FALSE),"")</f>
        <v/>
      </c>
      <c r="S549" s="19"/>
      <c r="T549" s="19"/>
      <c r="U549" s="19"/>
      <c r="V549" s="19"/>
      <c r="W549" s="19"/>
      <c r="X549" s="19"/>
    </row>
    <row r="550" spans="1:24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 t="str">
        <f>IFERROR(VLOOKUP($K550,Parameters!$A$5:$D$101,3,FALSE),"")</f>
        <v/>
      </c>
      <c r="R550" s="19" t="str">
        <f>IFERROR(VLOOKUP($K550,Parameters!$A$5:$D$101,4,FALSE),"")</f>
        <v/>
      </c>
      <c r="S550" s="19"/>
      <c r="T550" s="19"/>
      <c r="U550" s="19"/>
      <c r="V550" s="19"/>
      <c r="W550" s="19"/>
      <c r="X550" s="19"/>
    </row>
    <row r="551" spans="1:24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 t="str">
        <f>IFERROR(VLOOKUP($K551,Parameters!$A$5:$D$101,3,FALSE),"")</f>
        <v/>
      </c>
      <c r="R551" s="19" t="str">
        <f>IFERROR(VLOOKUP($K551,Parameters!$A$5:$D$101,4,FALSE),"")</f>
        <v/>
      </c>
      <c r="S551" s="19"/>
      <c r="T551" s="19"/>
      <c r="U551" s="19"/>
      <c r="V551" s="19"/>
      <c r="W551" s="19"/>
      <c r="X551" s="19"/>
    </row>
    <row r="552" spans="1:24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 t="str">
        <f>IFERROR(VLOOKUP($K552,Parameters!$A$5:$D$101,3,FALSE),"")</f>
        <v/>
      </c>
      <c r="R552" s="19" t="str">
        <f>IFERROR(VLOOKUP($K552,Parameters!$A$5:$D$101,4,FALSE),"")</f>
        <v/>
      </c>
      <c r="S552" s="19"/>
      <c r="T552" s="19"/>
      <c r="U552" s="19"/>
      <c r="V552" s="19"/>
      <c r="W552" s="19"/>
      <c r="X552" s="19"/>
    </row>
    <row r="553" spans="1:24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 t="str">
        <f>IFERROR(VLOOKUP($K553,Parameters!$A$5:$D$101,3,FALSE),"")</f>
        <v/>
      </c>
      <c r="R553" s="19" t="str">
        <f>IFERROR(VLOOKUP($K553,Parameters!$A$5:$D$101,4,FALSE),"")</f>
        <v/>
      </c>
      <c r="S553" s="19"/>
      <c r="T553" s="19"/>
      <c r="U553" s="19"/>
      <c r="V553" s="19"/>
      <c r="W553" s="19"/>
      <c r="X553" s="19"/>
    </row>
    <row r="554" spans="1:2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 t="str">
        <f>IFERROR(VLOOKUP($K554,Parameters!$A$5:$D$101,3,FALSE),"")</f>
        <v/>
      </c>
      <c r="R554" s="19" t="str">
        <f>IFERROR(VLOOKUP($K554,Parameters!$A$5:$D$101,4,FALSE),"")</f>
        <v/>
      </c>
      <c r="S554" s="19"/>
      <c r="T554" s="19"/>
      <c r="U554" s="19"/>
      <c r="V554" s="19"/>
      <c r="W554" s="19"/>
      <c r="X554" s="19"/>
    </row>
    <row r="555" spans="1:24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 t="str">
        <f>IFERROR(VLOOKUP($K555,Parameters!$A$5:$D$101,3,FALSE),"")</f>
        <v/>
      </c>
      <c r="R555" s="19" t="str">
        <f>IFERROR(VLOOKUP($K555,Parameters!$A$5:$D$101,4,FALSE),"")</f>
        <v/>
      </c>
      <c r="S555" s="19"/>
      <c r="T555" s="19"/>
      <c r="U555" s="19"/>
      <c r="V555" s="19"/>
      <c r="W555" s="19"/>
      <c r="X555" s="19"/>
    </row>
    <row r="556" spans="1:24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 t="str">
        <f>IFERROR(VLOOKUP($K556,Parameters!$A$5:$D$101,3,FALSE),"")</f>
        <v/>
      </c>
      <c r="R556" s="19" t="str">
        <f>IFERROR(VLOOKUP($K556,Parameters!$A$5:$D$101,4,FALSE),"")</f>
        <v/>
      </c>
      <c r="S556" s="19"/>
      <c r="T556" s="19"/>
      <c r="U556" s="19"/>
      <c r="V556" s="19"/>
      <c r="W556" s="19"/>
      <c r="X556" s="19"/>
    </row>
    <row r="557" spans="1:24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 t="str">
        <f>IFERROR(VLOOKUP($K557,Parameters!$A$5:$D$101,3,FALSE),"")</f>
        <v/>
      </c>
      <c r="R557" s="19" t="str">
        <f>IFERROR(VLOOKUP($K557,Parameters!$A$5:$D$101,4,FALSE),"")</f>
        <v/>
      </c>
      <c r="S557" s="19"/>
      <c r="T557" s="19"/>
      <c r="U557" s="19"/>
      <c r="V557" s="19"/>
      <c r="W557" s="19"/>
      <c r="X557" s="19"/>
    </row>
    <row r="558" spans="1:24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 t="str">
        <f>IFERROR(VLOOKUP($K558,Parameters!$A$5:$D$101,3,FALSE),"")</f>
        <v/>
      </c>
      <c r="R558" s="19" t="str">
        <f>IFERROR(VLOOKUP($K558,Parameters!$A$5:$D$101,4,FALSE),"")</f>
        <v/>
      </c>
      <c r="S558" s="19"/>
      <c r="T558" s="19"/>
      <c r="U558" s="19"/>
      <c r="V558" s="19"/>
      <c r="W558" s="19"/>
      <c r="X558" s="19"/>
    </row>
    <row r="559" spans="1:24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 t="str">
        <f>IFERROR(VLOOKUP($K559,Parameters!$A$5:$D$101,3,FALSE),"")</f>
        <v/>
      </c>
      <c r="R559" s="19" t="str">
        <f>IFERROR(VLOOKUP($K559,Parameters!$A$5:$D$101,4,FALSE),"")</f>
        <v/>
      </c>
      <c r="S559" s="19"/>
      <c r="T559" s="19"/>
      <c r="U559" s="19"/>
      <c r="V559" s="19"/>
      <c r="W559" s="19"/>
      <c r="X559" s="19"/>
    </row>
    <row r="560" spans="1:24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 t="str">
        <f>IFERROR(VLOOKUP($K560,Parameters!$A$5:$D$101,3,FALSE),"")</f>
        <v/>
      </c>
      <c r="R560" s="19" t="str">
        <f>IFERROR(VLOOKUP($K560,Parameters!$A$5:$D$101,4,FALSE),"")</f>
        <v/>
      </c>
      <c r="S560" s="19"/>
      <c r="T560" s="19"/>
      <c r="U560" s="19"/>
      <c r="V560" s="19"/>
      <c r="W560" s="19"/>
      <c r="X560" s="19"/>
    </row>
    <row r="561" spans="1:24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 t="str">
        <f>IFERROR(VLOOKUP($K561,Parameters!$A$5:$D$101,3,FALSE),"")</f>
        <v/>
      </c>
      <c r="R561" s="19" t="str">
        <f>IFERROR(VLOOKUP($K561,Parameters!$A$5:$D$101,4,FALSE),"")</f>
        <v/>
      </c>
      <c r="S561" s="19"/>
      <c r="T561" s="19"/>
      <c r="U561" s="19"/>
      <c r="V561" s="19"/>
      <c r="W561" s="19"/>
      <c r="X561" s="19"/>
    </row>
    <row r="562" spans="1:24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 t="str">
        <f>IFERROR(VLOOKUP($K562,Parameters!$A$5:$D$101,3,FALSE),"")</f>
        <v/>
      </c>
      <c r="R562" s="19" t="str">
        <f>IFERROR(VLOOKUP($K562,Parameters!$A$5:$D$101,4,FALSE),"")</f>
        <v/>
      </c>
      <c r="S562" s="19"/>
      <c r="T562" s="19"/>
      <c r="U562" s="19"/>
      <c r="V562" s="19"/>
      <c r="W562" s="19"/>
      <c r="X562" s="19"/>
    </row>
    <row r="563" spans="1:24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 t="str">
        <f>IFERROR(VLOOKUP($K563,Parameters!$A$5:$D$101,3,FALSE),"")</f>
        <v/>
      </c>
      <c r="R563" s="19" t="str">
        <f>IFERROR(VLOOKUP($K563,Parameters!$A$5:$D$101,4,FALSE),"")</f>
        <v/>
      </c>
      <c r="S563" s="19"/>
      <c r="T563" s="19"/>
      <c r="U563" s="19"/>
      <c r="V563" s="19"/>
      <c r="W563" s="19"/>
      <c r="X563" s="19"/>
    </row>
    <row r="564" spans="1:2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 t="str">
        <f>IFERROR(VLOOKUP($K564,Parameters!$A$5:$D$101,3,FALSE),"")</f>
        <v/>
      </c>
      <c r="R564" s="19" t="str">
        <f>IFERROR(VLOOKUP($K564,Parameters!$A$5:$D$101,4,FALSE),"")</f>
        <v/>
      </c>
      <c r="S564" s="19"/>
      <c r="T564" s="19"/>
      <c r="U564" s="19"/>
      <c r="V564" s="19"/>
      <c r="W564" s="19"/>
      <c r="X564" s="19"/>
    </row>
    <row r="565" spans="1:24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 t="str">
        <f>IFERROR(VLOOKUP($K565,Parameters!$A$5:$D$101,3,FALSE),"")</f>
        <v/>
      </c>
      <c r="R565" s="19" t="str">
        <f>IFERROR(VLOOKUP($K565,Parameters!$A$5:$D$101,4,FALSE),"")</f>
        <v/>
      </c>
      <c r="S565" s="19"/>
      <c r="T565" s="19"/>
      <c r="U565" s="19"/>
      <c r="V565" s="19"/>
      <c r="W565" s="19"/>
      <c r="X565" s="19"/>
    </row>
    <row r="566" spans="1:24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 t="str">
        <f>IFERROR(VLOOKUP($K566,Parameters!$A$5:$D$101,3,FALSE),"")</f>
        <v/>
      </c>
      <c r="R566" s="19" t="str">
        <f>IFERROR(VLOOKUP($K566,Parameters!$A$5:$D$101,4,FALSE),"")</f>
        <v/>
      </c>
      <c r="S566" s="19"/>
      <c r="T566" s="19"/>
      <c r="U566" s="19"/>
      <c r="V566" s="19"/>
      <c r="W566" s="19"/>
      <c r="X566" s="19"/>
    </row>
    <row r="567" spans="1:24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 t="str">
        <f>IFERROR(VLOOKUP($K567,Parameters!$A$5:$D$101,3,FALSE),"")</f>
        <v/>
      </c>
      <c r="R567" s="19" t="str">
        <f>IFERROR(VLOOKUP($K567,Parameters!$A$5:$D$101,4,FALSE),"")</f>
        <v/>
      </c>
      <c r="S567" s="19"/>
      <c r="T567" s="19"/>
      <c r="U567" s="19"/>
      <c r="V567" s="19"/>
      <c r="W567" s="19"/>
      <c r="X567" s="19"/>
    </row>
    <row r="568" spans="1:24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 t="str">
        <f>IFERROR(VLOOKUP($K568,Parameters!$A$5:$D$101,3,FALSE),"")</f>
        <v/>
      </c>
      <c r="R568" s="19" t="str">
        <f>IFERROR(VLOOKUP($K568,Parameters!$A$5:$D$101,4,FALSE),"")</f>
        <v/>
      </c>
      <c r="S568" s="19"/>
      <c r="T568" s="19"/>
      <c r="U568" s="19"/>
      <c r="V568" s="19"/>
      <c r="W568" s="19"/>
      <c r="X568" s="19"/>
    </row>
    <row r="569" spans="1:24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 t="str">
        <f>IFERROR(VLOOKUP($K569,Parameters!$A$5:$D$101,3,FALSE),"")</f>
        <v/>
      </c>
      <c r="R569" s="19" t="str">
        <f>IFERROR(VLOOKUP($K569,Parameters!$A$5:$D$101,4,FALSE),"")</f>
        <v/>
      </c>
      <c r="S569" s="19"/>
      <c r="T569" s="19"/>
      <c r="U569" s="19"/>
      <c r="V569" s="19"/>
      <c r="W569" s="19"/>
      <c r="X569" s="19"/>
    </row>
    <row r="570" spans="1:24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 t="str">
        <f>IFERROR(VLOOKUP($K570,Parameters!$A$5:$D$101,3,FALSE),"")</f>
        <v/>
      </c>
      <c r="R570" s="19" t="str">
        <f>IFERROR(VLOOKUP($K570,Parameters!$A$5:$D$101,4,FALSE),"")</f>
        <v/>
      </c>
      <c r="S570" s="19"/>
      <c r="T570" s="19"/>
      <c r="U570" s="19"/>
      <c r="V570" s="19"/>
      <c r="W570" s="19"/>
      <c r="X570" s="19"/>
    </row>
    <row r="571" spans="1:24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 t="str">
        <f>IFERROR(VLOOKUP($K571,Parameters!$A$5:$D$101,3,FALSE),"")</f>
        <v/>
      </c>
      <c r="R571" s="19" t="str">
        <f>IFERROR(VLOOKUP($K571,Parameters!$A$5:$D$101,4,FALSE),"")</f>
        <v/>
      </c>
      <c r="S571" s="19"/>
      <c r="T571" s="19"/>
      <c r="U571" s="19"/>
      <c r="V571" s="19"/>
      <c r="W571" s="19"/>
      <c r="X571" s="19"/>
    </row>
    <row r="572" spans="1:24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 t="str">
        <f>IFERROR(VLOOKUP($K572,Parameters!$A$5:$D$101,3,FALSE),"")</f>
        <v/>
      </c>
      <c r="R572" s="19" t="str">
        <f>IFERROR(VLOOKUP($K572,Parameters!$A$5:$D$101,4,FALSE),"")</f>
        <v/>
      </c>
      <c r="S572" s="19"/>
      <c r="T572" s="19"/>
      <c r="U572" s="19"/>
      <c r="V572" s="19"/>
      <c r="W572" s="19"/>
      <c r="X572" s="19"/>
    </row>
    <row r="573" spans="1:24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 t="str">
        <f>IFERROR(VLOOKUP($K573,Parameters!$A$5:$D$101,3,FALSE),"")</f>
        <v/>
      </c>
      <c r="R573" s="19" t="str">
        <f>IFERROR(VLOOKUP($K573,Parameters!$A$5:$D$101,4,FALSE),"")</f>
        <v/>
      </c>
      <c r="S573" s="19"/>
      <c r="T573" s="19"/>
      <c r="U573" s="19"/>
      <c r="V573" s="19"/>
      <c r="W573" s="19"/>
      <c r="X573" s="19"/>
    </row>
    <row r="574" spans="1:2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 t="str">
        <f>IFERROR(VLOOKUP($K574,Parameters!$A$5:$D$101,3,FALSE),"")</f>
        <v/>
      </c>
      <c r="R574" s="19" t="str">
        <f>IFERROR(VLOOKUP($K574,Parameters!$A$5:$D$101,4,FALSE),"")</f>
        <v/>
      </c>
      <c r="S574" s="19"/>
      <c r="T574" s="19"/>
      <c r="U574" s="19"/>
      <c r="V574" s="19"/>
      <c r="W574" s="19"/>
      <c r="X574" s="19"/>
    </row>
    <row r="575" spans="1:24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 t="str">
        <f>IFERROR(VLOOKUP($K575,Parameters!$A$5:$D$101,3,FALSE),"")</f>
        <v/>
      </c>
      <c r="R575" s="19" t="str">
        <f>IFERROR(VLOOKUP($K575,Parameters!$A$5:$D$101,4,FALSE),"")</f>
        <v/>
      </c>
      <c r="S575" s="19"/>
      <c r="T575" s="19"/>
      <c r="U575" s="19"/>
      <c r="V575" s="19"/>
      <c r="W575" s="19"/>
      <c r="X575" s="19"/>
    </row>
    <row r="576" spans="1:24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 t="str">
        <f>IFERROR(VLOOKUP($K576,Parameters!$A$5:$D$101,3,FALSE),"")</f>
        <v/>
      </c>
      <c r="R576" s="19" t="str">
        <f>IFERROR(VLOOKUP($K576,Parameters!$A$5:$D$101,4,FALSE),"")</f>
        <v/>
      </c>
      <c r="S576" s="19"/>
      <c r="T576" s="19"/>
      <c r="U576" s="19"/>
      <c r="V576" s="19"/>
      <c r="W576" s="19"/>
      <c r="X576" s="19"/>
    </row>
    <row r="577" spans="1:24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 t="str">
        <f>IFERROR(VLOOKUP($K577,Parameters!$A$5:$D$101,3,FALSE),"")</f>
        <v/>
      </c>
      <c r="R577" s="19" t="str">
        <f>IFERROR(VLOOKUP($K577,Parameters!$A$5:$D$101,4,FALSE),"")</f>
        <v/>
      </c>
      <c r="S577" s="19"/>
      <c r="T577" s="19"/>
      <c r="U577" s="19"/>
      <c r="V577" s="19"/>
      <c r="W577" s="19"/>
      <c r="X577" s="19"/>
    </row>
    <row r="578" spans="1:24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 t="str">
        <f>IFERROR(VLOOKUP($K578,Parameters!$A$5:$D$101,3,FALSE),"")</f>
        <v/>
      </c>
      <c r="R578" s="19" t="str">
        <f>IFERROR(VLOOKUP($K578,Parameters!$A$5:$D$101,4,FALSE),"")</f>
        <v/>
      </c>
      <c r="S578" s="19"/>
      <c r="T578" s="19"/>
      <c r="U578" s="19"/>
      <c r="V578" s="19"/>
      <c r="W578" s="19"/>
      <c r="X578" s="19"/>
    </row>
    <row r="579" spans="1:24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 t="str">
        <f>IFERROR(VLOOKUP($K579,Parameters!$A$5:$D$101,3,FALSE),"")</f>
        <v/>
      </c>
      <c r="R579" s="19" t="str">
        <f>IFERROR(VLOOKUP($K579,Parameters!$A$5:$D$101,4,FALSE),"")</f>
        <v/>
      </c>
      <c r="S579" s="19"/>
      <c r="T579" s="19"/>
      <c r="U579" s="19"/>
      <c r="V579" s="19"/>
      <c r="W579" s="19"/>
      <c r="X579" s="19"/>
    </row>
    <row r="580" spans="1:24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 t="str">
        <f>IFERROR(VLOOKUP($K580,Parameters!$A$5:$D$101,3,FALSE),"")</f>
        <v/>
      </c>
      <c r="R580" s="19" t="str">
        <f>IFERROR(VLOOKUP($K580,Parameters!$A$5:$D$101,4,FALSE),"")</f>
        <v/>
      </c>
      <c r="S580" s="19"/>
      <c r="T580" s="19"/>
      <c r="U580" s="19"/>
      <c r="V580" s="19"/>
      <c r="W580" s="19"/>
      <c r="X580" s="19"/>
    </row>
    <row r="581" spans="1:24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 t="str">
        <f>IFERROR(VLOOKUP($K581,Parameters!$A$5:$D$101,3,FALSE),"")</f>
        <v/>
      </c>
      <c r="R581" s="19" t="str">
        <f>IFERROR(VLOOKUP($K581,Parameters!$A$5:$D$101,4,FALSE),"")</f>
        <v/>
      </c>
      <c r="S581" s="19"/>
      <c r="T581" s="19"/>
      <c r="U581" s="19"/>
      <c r="V581" s="19"/>
      <c r="W581" s="19"/>
      <c r="X581" s="19"/>
    </row>
    <row r="582" spans="1:24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 t="str">
        <f>IFERROR(VLOOKUP($K582,Parameters!$A$5:$D$101,3,FALSE),"")</f>
        <v/>
      </c>
      <c r="R582" s="19" t="str">
        <f>IFERROR(VLOOKUP($K582,Parameters!$A$5:$D$101,4,FALSE),"")</f>
        <v/>
      </c>
      <c r="S582" s="19"/>
      <c r="T582" s="19"/>
      <c r="U582" s="19"/>
      <c r="V582" s="19"/>
      <c r="W582" s="19"/>
      <c r="X582" s="19"/>
    </row>
    <row r="583" spans="1:24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 t="str">
        <f>IFERROR(VLOOKUP($K583,Parameters!$A$5:$D$101,3,FALSE),"")</f>
        <v/>
      </c>
      <c r="R583" s="19" t="str">
        <f>IFERROR(VLOOKUP($K583,Parameters!$A$5:$D$101,4,FALSE),"")</f>
        <v/>
      </c>
      <c r="S583" s="19"/>
      <c r="T583" s="19"/>
      <c r="U583" s="19"/>
      <c r="V583" s="19"/>
      <c r="W583" s="19"/>
      <c r="X583" s="19"/>
    </row>
    <row r="584" spans="1:2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 t="str">
        <f>IFERROR(VLOOKUP($K584,Parameters!$A$5:$D$101,3,FALSE),"")</f>
        <v/>
      </c>
      <c r="R584" s="19" t="str">
        <f>IFERROR(VLOOKUP($K584,Parameters!$A$5:$D$101,4,FALSE),"")</f>
        <v/>
      </c>
      <c r="S584" s="19"/>
      <c r="T584" s="19"/>
      <c r="U584" s="19"/>
      <c r="V584" s="19"/>
      <c r="W584" s="19"/>
      <c r="X584" s="19"/>
    </row>
    <row r="585" spans="1:24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 t="str">
        <f>IFERROR(VLOOKUP($K585,Parameters!$A$5:$D$101,3,FALSE),"")</f>
        <v/>
      </c>
      <c r="R585" s="19" t="str">
        <f>IFERROR(VLOOKUP($K585,Parameters!$A$5:$D$101,4,FALSE),"")</f>
        <v/>
      </c>
      <c r="S585" s="19"/>
      <c r="T585" s="19"/>
      <c r="U585" s="19"/>
      <c r="V585" s="19"/>
      <c r="W585" s="19"/>
      <c r="X585" s="19"/>
    </row>
    <row r="586" spans="1:24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 t="str">
        <f>IFERROR(VLOOKUP($K586,Parameters!$A$5:$D$101,3,FALSE),"")</f>
        <v/>
      </c>
      <c r="R586" s="19" t="str">
        <f>IFERROR(VLOOKUP($K586,Parameters!$A$5:$D$101,4,FALSE),"")</f>
        <v/>
      </c>
      <c r="S586" s="19"/>
      <c r="T586" s="19"/>
      <c r="U586" s="19"/>
      <c r="V586" s="19"/>
      <c r="W586" s="19"/>
      <c r="X586" s="19"/>
    </row>
    <row r="587" spans="1:24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 t="str">
        <f>IFERROR(VLOOKUP($K587,Parameters!$A$5:$D$101,3,FALSE),"")</f>
        <v/>
      </c>
      <c r="R587" s="19" t="str">
        <f>IFERROR(VLOOKUP($K587,Parameters!$A$5:$D$101,4,FALSE),"")</f>
        <v/>
      </c>
      <c r="S587" s="19"/>
      <c r="T587" s="19"/>
      <c r="U587" s="19"/>
      <c r="V587" s="19"/>
      <c r="W587" s="19"/>
      <c r="X587" s="19"/>
    </row>
    <row r="588" spans="1:24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 t="str">
        <f>IFERROR(VLOOKUP($K588,Parameters!$A$5:$D$101,3,FALSE),"")</f>
        <v/>
      </c>
      <c r="R588" s="19" t="str">
        <f>IFERROR(VLOOKUP($K588,Parameters!$A$5:$D$101,4,FALSE),"")</f>
        <v/>
      </c>
      <c r="S588" s="19"/>
      <c r="T588" s="19"/>
      <c r="U588" s="19"/>
      <c r="V588" s="19"/>
      <c r="W588" s="19"/>
      <c r="X588" s="19"/>
    </row>
    <row r="589" spans="1:24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 t="str">
        <f>IFERROR(VLOOKUP($K589,Parameters!$A$5:$D$101,3,FALSE),"")</f>
        <v/>
      </c>
      <c r="R589" s="19" t="str">
        <f>IFERROR(VLOOKUP($K589,Parameters!$A$5:$D$101,4,FALSE),"")</f>
        <v/>
      </c>
      <c r="S589" s="19"/>
      <c r="T589" s="19"/>
      <c r="U589" s="19"/>
      <c r="V589" s="19"/>
      <c r="W589" s="19"/>
      <c r="X589" s="19"/>
    </row>
    <row r="590" spans="1:24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 t="str">
        <f>IFERROR(VLOOKUP($K590,Parameters!$A$5:$D$101,3,FALSE),"")</f>
        <v/>
      </c>
      <c r="R590" s="19" t="str">
        <f>IFERROR(VLOOKUP($K590,Parameters!$A$5:$D$101,4,FALSE),"")</f>
        <v/>
      </c>
      <c r="S590" s="19"/>
      <c r="T590" s="19"/>
      <c r="U590" s="19"/>
      <c r="V590" s="19"/>
      <c r="W590" s="19"/>
      <c r="X590" s="19"/>
    </row>
    <row r="591" spans="1:24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 t="str">
        <f>IFERROR(VLOOKUP($K591,Parameters!$A$5:$D$101,3,FALSE),"")</f>
        <v/>
      </c>
      <c r="R591" s="19" t="str">
        <f>IFERROR(VLOOKUP($K591,Parameters!$A$5:$D$101,4,FALSE),"")</f>
        <v/>
      </c>
      <c r="S591" s="19"/>
      <c r="T591" s="19"/>
      <c r="U591" s="19"/>
      <c r="V591" s="19"/>
      <c r="W591" s="19"/>
      <c r="X591" s="19"/>
    </row>
    <row r="592" spans="1:24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 t="str">
        <f>IFERROR(VLOOKUP($K592,Parameters!$A$5:$D$101,3,FALSE),"")</f>
        <v/>
      </c>
      <c r="R592" s="19" t="str">
        <f>IFERROR(VLOOKUP($K592,Parameters!$A$5:$D$101,4,FALSE),"")</f>
        <v/>
      </c>
      <c r="S592" s="19"/>
      <c r="T592" s="19"/>
      <c r="U592" s="19"/>
      <c r="V592" s="19"/>
      <c r="W592" s="19"/>
      <c r="X592" s="19"/>
    </row>
    <row r="593" spans="1:24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 t="str">
        <f>IFERROR(VLOOKUP($K593,Parameters!$A$5:$D$101,3,FALSE),"")</f>
        <v/>
      </c>
      <c r="R593" s="19" t="str">
        <f>IFERROR(VLOOKUP($K593,Parameters!$A$5:$D$101,4,FALSE),"")</f>
        <v/>
      </c>
      <c r="S593" s="19"/>
      <c r="T593" s="19"/>
      <c r="U593" s="19"/>
      <c r="V593" s="19"/>
      <c r="W593" s="19"/>
      <c r="X593" s="19"/>
    </row>
    <row r="594" spans="1:2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 t="str">
        <f>IFERROR(VLOOKUP($K594,Parameters!$A$5:$D$101,3,FALSE),"")</f>
        <v/>
      </c>
      <c r="R594" s="19" t="str">
        <f>IFERROR(VLOOKUP($K594,Parameters!$A$5:$D$101,4,FALSE),"")</f>
        <v/>
      </c>
      <c r="S594" s="19"/>
      <c r="T594" s="19"/>
      <c r="U594" s="19"/>
      <c r="V594" s="19"/>
      <c r="W594" s="19"/>
      <c r="X594" s="19"/>
    </row>
    <row r="595" spans="1:24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 t="str">
        <f>IFERROR(VLOOKUP($K595,Parameters!$A$5:$D$101,3,FALSE),"")</f>
        <v/>
      </c>
      <c r="R595" s="19" t="str">
        <f>IFERROR(VLOOKUP($K595,Parameters!$A$5:$D$101,4,FALSE),"")</f>
        <v/>
      </c>
      <c r="S595" s="19"/>
      <c r="T595" s="19"/>
      <c r="U595" s="19"/>
      <c r="V595" s="19"/>
      <c r="W595" s="19"/>
      <c r="X595" s="19"/>
    </row>
    <row r="596" spans="1:24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 t="str">
        <f>IFERROR(VLOOKUP($K596,Parameters!$A$5:$D$101,3,FALSE),"")</f>
        <v/>
      </c>
      <c r="R596" s="19" t="str">
        <f>IFERROR(VLOOKUP($K596,Parameters!$A$5:$D$101,4,FALSE),"")</f>
        <v/>
      </c>
      <c r="S596" s="19"/>
      <c r="T596" s="19"/>
      <c r="U596" s="19"/>
      <c r="V596" s="19"/>
      <c r="W596" s="19"/>
      <c r="X596" s="19"/>
    </row>
    <row r="597" spans="1:24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 t="str">
        <f>IFERROR(VLOOKUP($K597,Parameters!$A$5:$D$101,3,FALSE),"")</f>
        <v/>
      </c>
      <c r="R597" s="19" t="str">
        <f>IFERROR(VLOOKUP($K597,Parameters!$A$5:$D$101,4,FALSE),"")</f>
        <v/>
      </c>
      <c r="S597" s="19"/>
      <c r="T597" s="19"/>
      <c r="U597" s="19"/>
      <c r="V597" s="19"/>
      <c r="W597" s="19"/>
      <c r="X597" s="19"/>
    </row>
    <row r="598" spans="1:24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 t="str">
        <f>IFERROR(VLOOKUP($K598,Parameters!$A$5:$D$101,3,FALSE),"")</f>
        <v/>
      </c>
      <c r="R598" s="19" t="str">
        <f>IFERROR(VLOOKUP($K598,Parameters!$A$5:$D$101,4,FALSE),"")</f>
        <v/>
      </c>
      <c r="S598" s="19"/>
      <c r="T598" s="19"/>
      <c r="U598" s="19"/>
      <c r="V598" s="19"/>
      <c r="W598" s="19"/>
      <c r="X598" s="19"/>
    </row>
    <row r="599" spans="1:24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 t="str">
        <f>IFERROR(VLOOKUP($K599,Parameters!$A$5:$D$101,3,FALSE),"")</f>
        <v/>
      </c>
      <c r="R599" s="19" t="str">
        <f>IFERROR(VLOOKUP($K599,Parameters!$A$5:$D$101,4,FALSE),"")</f>
        <v/>
      </c>
      <c r="S599" s="19"/>
      <c r="T599" s="19"/>
      <c r="U599" s="19"/>
      <c r="V599" s="19"/>
      <c r="W599" s="19"/>
      <c r="X599" s="19"/>
    </row>
    <row r="600" spans="1:24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 t="str">
        <f>IFERROR(VLOOKUP($K600,Parameters!$A$5:$D$101,3,FALSE),"")</f>
        <v/>
      </c>
      <c r="R600" s="19" t="str">
        <f>IFERROR(VLOOKUP($K600,Parameters!$A$5:$D$101,4,FALSE),"")</f>
        <v/>
      </c>
      <c r="S600" s="19"/>
      <c r="T600" s="19"/>
      <c r="U600" s="19"/>
      <c r="V600" s="19"/>
      <c r="W600" s="19"/>
      <c r="X600" s="19"/>
    </row>
    <row r="601" spans="1:24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 t="str">
        <f>IFERROR(VLOOKUP($K601,Parameters!$A$5:$D$101,3,FALSE),"")</f>
        <v/>
      </c>
      <c r="R601" s="19" t="str">
        <f>IFERROR(VLOOKUP($K601,Parameters!$A$5:$D$101,4,FALSE),"")</f>
        <v/>
      </c>
      <c r="S601" s="19"/>
      <c r="T601" s="19"/>
      <c r="U601" s="19"/>
      <c r="V601" s="19"/>
      <c r="W601" s="19"/>
      <c r="X601" s="19"/>
    </row>
    <row r="602" spans="1:24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 t="str">
        <f>IFERROR(VLOOKUP($K602,Parameters!$A$5:$D$101,3,FALSE),"")</f>
        <v/>
      </c>
      <c r="R602" s="19" t="str">
        <f>IFERROR(VLOOKUP($K602,Parameters!$A$5:$D$101,4,FALSE),"")</f>
        <v/>
      </c>
      <c r="S602" s="19"/>
      <c r="T602" s="19"/>
      <c r="U602" s="19"/>
      <c r="V602" s="19"/>
      <c r="W602" s="19"/>
      <c r="X602" s="19"/>
    </row>
    <row r="603" spans="1:24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 t="str">
        <f>IFERROR(VLOOKUP($K603,Parameters!$A$5:$D$101,3,FALSE),"")</f>
        <v/>
      </c>
      <c r="R603" s="19" t="str">
        <f>IFERROR(VLOOKUP($K603,Parameters!$A$5:$D$101,4,FALSE),"")</f>
        <v/>
      </c>
      <c r="S603" s="19"/>
      <c r="T603" s="19"/>
      <c r="U603" s="19"/>
      <c r="V603" s="19"/>
      <c r="W603" s="19"/>
      <c r="X603" s="19"/>
    </row>
    <row r="604" spans="1:2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 t="str">
        <f>IFERROR(VLOOKUP($K604,Parameters!$A$5:$D$101,3,FALSE),"")</f>
        <v/>
      </c>
      <c r="R604" s="19" t="str">
        <f>IFERROR(VLOOKUP($K604,Parameters!$A$5:$D$101,4,FALSE),"")</f>
        <v/>
      </c>
      <c r="S604" s="19"/>
      <c r="T604" s="19"/>
      <c r="U604" s="19"/>
      <c r="V604" s="19"/>
      <c r="W604" s="19"/>
      <c r="X604" s="19"/>
    </row>
    <row r="605" spans="1:24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 t="str">
        <f>IFERROR(VLOOKUP($K605,Parameters!$A$5:$D$101,3,FALSE),"")</f>
        <v/>
      </c>
      <c r="R605" s="19" t="str">
        <f>IFERROR(VLOOKUP($K605,Parameters!$A$5:$D$101,4,FALSE),"")</f>
        <v/>
      </c>
      <c r="S605" s="19"/>
      <c r="T605" s="19"/>
      <c r="U605" s="19"/>
      <c r="V605" s="19"/>
      <c r="W605" s="19"/>
      <c r="X605" s="19"/>
    </row>
    <row r="606" spans="1:24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 t="str">
        <f>IFERROR(VLOOKUP($K606,Parameters!$A$5:$D$101,3,FALSE),"")</f>
        <v/>
      </c>
      <c r="R606" s="19" t="str">
        <f>IFERROR(VLOOKUP($K606,Parameters!$A$5:$D$101,4,FALSE),"")</f>
        <v/>
      </c>
      <c r="S606" s="19"/>
      <c r="T606" s="19"/>
      <c r="U606" s="19"/>
      <c r="V606" s="19"/>
      <c r="W606" s="19"/>
      <c r="X606" s="19"/>
    </row>
    <row r="607" spans="1:24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 t="str">
        <f>IFERROR(VLOOKUP($K607,Parameters!$A$5:$D$101,3,FALSE),"")</f>
        <v/>
      </c>
      <c r="R607" s="19" t="str">
        <f>IFERROR(VLOOKUP($K607,Parameters!$A$5:$D$101,4,FALSE),"")</f>
        <v/>
      </c>
      <c r="S607" s="19"/>
      <c r="T607" s="19"/>
      <c r="U607" s="19"/>
      <c r="V607" s="19"/>
      <c r="W607" s="19"/>
      <c r="X607" s="19"/>
    </row>
    <row r="608" spans="1:24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 t="str">
        <f>IFERROR(VLOOKUP($K608,Parameters!$A$5:$D$101,3,FALSE),"")</f>
        <v/>
      </c>
      <c r="R608" s="19" t="str">
        <f>IFERROR(VLOOKUP($K608,Parameters!$A$5:$D$101,4,FALSE),"")</f>
        <v/>
      </c>
      <c r="S608" s="19"/>
      <c r="T608" s="19"/>
      <c r="U608" s="19"/>
      <c r="V608" s="19"/>
      <c r="W608" s="19"/>
      <c r="X608" s="19"/>
    </row>
    <row r="609" spans="1:24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 t="str">
        <f>IFERROR(VLOOKUP($K609,Parameters!$A$5:$D$101,3,FALSE),"")</f>
        <v/>
      </c>
      <c r="R609" s="19" t="str">
        <f>IFERROR(VLOOKUP($K609,Parameters!$A$5:$D$101,4,FALSE),"")</f>
        <v/>
      </c>
      <c r="S609" s="19"/>
      <c r="T609" s="19"/>
      <c r="U609" s="19"/>
      <c r="V609" s="19"/>
      <c r="W609" s="19"/>
      <c r="X609" s="19"/>
    </row>
    <row r="610" spans="1:24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 t="str">
        <f>IFERROR(VLOOKUP($K610,Parameters!$A$5:$D$101,3,FALSE),"")</f>
        <v/>
      </c>
      <c r="R610" s="19" t="str">
        <f>IFERROR(VLOOKUP($K610,Parameters!$A$5:$D$101,4,FALSE),"")</f>
        <v/>
      </c>
      <c r="S610" s="19"/>
      <c r="T610" s="19"/>
      <c r="U610" s="19"/>
      <c r="V610" s="19"/>
      <c r="W610" s="19"/>
      <c r="X610" s="19"/>
    </row>
    <row r="611" spans="1:24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 t="str">
        <f>IFERROR(VLOOKUP($K611,Parameters!$A$5:$D$101,3,FALSE),"")</f>
        <v/>
      </c>
      <c r="R611" s="19" t="str">
        <f>IFERROR(VLOOKUP($K611,Parameters!$A$5:$D$101,4,FALSE),"")</f>
        <v/>
      </c>
      <c r="S611" s="19"/>
      <c r="T611" s="19"/>
      <c r="U611" s="19"/>
      <c r="V611" s="19"/>
      <c r="W611" s="19"/>
      <c r="X611" s="19"/>
    </row>
    <row r="612" spans="1:24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 t="str">
        <f>IFERROR(VLOOKUP($K612,Parameters!$A$5:$D$101,3,FALSE),"")</f>
        <v/>
      </c>
      <c r="R612" s="19" t="str">
        <f>IFERROR(VLOOKUP($K612,Parameters!$A$5:$D$101,4,FALSE),"")</f>
        <v/>
      </c>
      <c r="S612" s="19"/>
      <c r="T612" s="19"/>
      <c r="U612" s="19"/>
      <c r="V612" s="19"/>
      <c r="W612" s="19"/>
      <c r="X612" s="19"/>
    </row>
    <row r="613" spans="1:24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 t="str">
        <f>IFERROR(VLOOKUP($K613,Parameters!$A$5:$D$101,3,FALSE),"")</f>
        <v/>
      </c>
      <c r="R613" s="19" t="str">
        <f>IFERROR(VLOOKUP($K613,Parameters!$A$5:$D$101,4,FALSE),"")</f>
        <v/>
      </c>
      <c r="S613" s="19"/>
      <c r="T613" s="19"/>
      <c r="U613" s="19"/>
      <c r="V613" s="19"/>
      <c r="W613" s="19"/>
      <c r="X613" s="19"/>
    </row>
    <row r="614" spans="1:2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 t="str">
        <f>IFERROR(VLOOKUP($K614,Parameters!$A$5:$D$101,3,FALSE),"")</f>
        <v/>
      </c>
      <c r="R614" s="19" t="str">
        <f>IFERROR(VLOOKUP($K614,Parameters!$A$5:$D$101,4,FALSE),"")</f>
        <v/>
      </c>
      <c r="S614" s="19"/>
      <c r="T614" s="19"/>
      <c r="U614" s="19"/>
      <c r="V614" s="19"/>
      <c r="W614" s="19"/>
      <c r="X614" s="19"/>
    </row>
    <row r="615" spans="1:24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 t="str">
        <f>IFERROR(VLOOKUP($K615,Parameters!$A$5:$D$101,3,FALSE),"")</f>
        <v/>
      </c>
      <c r="R615" s="19" t="str">
        <f>IFERROR(VLOOKUP($K615,Parameters!$A$5:$D$101,4,FALSE),"")</f>
        <v/>
      </c>
      <c r="S615" s="19"/>
      <c r="T615" s="19"/>
      <c r="U615" s="19"/>
      <c r="V615" s="19"/>
      <c r="W615" s="19"/>
      <c r="X615" s="19"/>
    </row>
    <row r="616" spans="1:24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 t="str">
        <f>IFERROR(VLOOKUP($K616,Parameters!$A$5:$D$101,3,FALSE),"")</f>
        <v/>
      </c>
      <c r="R616" s="19" t="str">
        <f>IFERROR(VLOOKUP($K616,Parameters!$A$5:$D$101,4,FALSE),"")</f>
        <v/>
      </c>
      <c r="S616" s="19"/>
      <c r="T616" s="19"/>
      <c r="U616" s="19"/>
      <c r="V616" s="19"/>
      <c r="W616" s="19"/>
      <c r="X616" s="19"/>
    </row>
    <row r="617" spans="1:24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 t="str">
        <f>IFERROR(VLOOKUP($K617,Parameters!$A$5:$D$101,3,FALSE),"")</f>
        <v/>
      </c>
      <c r="R617" s="19" t="str">
        <f>IFERROR(VLOOKUP($K617,Parameters!$A$5:$D$101,4,FALSE),"")</f>
        <v/>
      </c>
      <c r="S617" s="19"/>
      <c r="T617" s="19"/>
      <c r="U617" s="19"/>
      <c r="V617" s="19"/>
      <c r="W617" s="19"/>
      <c r="X617" s="19"/>
    </row>
    <row r="618" spans="1:24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 t="str">
        <f>IFERROR(VLOOKUP($K618,Parameters!$A$5:$D$101,3,FALSE),"")</f>
        <v/>
      </c>
      <c r="R618" s="19" t="str">
        <f>IFERROR(VLOOKUP($K618,Parameters!$A$5:$D$101,4,FALSE),"")</f>
        <v/>
      </c>
      <c r="S618" s="19"/>
      <c r="T618" s="19"/>
      <c r="U618" s="19"/>
      <c r="V618" s="19"/>
      <c r="W618" s="19"/>
      <c r="X618" s="19"/>
    </row>
    <row r="619" spans="1:24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 t="str">
        <f>IFERROR(VLOOKUP($K619,Parameters!$A$5:$D$101,3,FALSE),"")</f>
        <v/>
      </c>
      <c r="R619" s="19" t="str">
        <f>IFERROR(VLOOKUP($K619,Parameters!$A$5:$D$101,4,FALSE),"")</f>
        <v/>
      </c>
      <c r="S619" s="19"/>
      <c r="T619" s="19"/>
      <c r="U619" s="19"/>
      <c r="V619" s="19"/>
      <c r="W619" s="19"/>
      <c r="X619" s="19"/>
    </row>
    <row r="620" spans="1:24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 t="str">
        <f>IFERROR(VLOOKUP($K620,Parameters!$A$5:$D$101,3,FALSE),"")</f>
        <v/>
      </c>
      <c r="R620" s="19" t="str">
        <f>IFERROR(VLOOKUP($K620,Parameters!$A$5:$D$101,4,FALSE),"")</f>
        <v/>
      </c>
      <c r="S620" s="19"/>
      <c r="T620" s="19"/>
      <c r="U620" s="19"/>
      <c r="V620" s="19"/>
      <c r="W620" s="19"/>
      <c r="X620" s="19"/>
    </row>
    <row r="621" spans="1:24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 t="str">
        <f>IFERROR(VLOOKUP($K621,Parameters!$A$5:$D$101,3,FALSE),"")</f>
        <v/>
      </c>
      <c r="R621" s="19" t="str">
        <f>IFERROR(VLOOKUP($K621,Parameters!$A$5:$D$101,4,FALSE),"")</f>
        <v/>
      </c>
      <c r="S621" s="19"/>
      <c r="T621" s="19"/>
      <c r="U621" s="19"/>
      <c r="V621" s="19"/>
      <c r="W621" s="19"/>
      <c r="X621" s="19"/>
    </row>
    <row r="622" spans="1:24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 t="str">
        <f>IFERROR(VLOOKUP($K622,Parameters!$A$5:$D$101,3,FALSE),"")</f>
        <v/>
      </c>
      <c r="R622" s="19" t="str">
        <f>IFERROR(VLOOKUP($K622,Parameters!$A$5:$D$101,4,FALSE),"")</f>
        <v/>
      </c>
      <c r="S622" s="19"/>
      <c r="T622" s="19"/>
      <c r="U622" s="19"/>
      <c r="V622" s="19"/>
      <c r="W622" s="19"/>
      <c r="X622" s="19"/>
    </row>
    <row r="623" spans="1:24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 t="str">
        <f>IFERROR(VLOOKUP($K623,Parameters!$A$5:$D$101,3,FALSE),"")</f>
        <v/>
      </c>
      <c r="R623" s="19" t="str">
        <f>IFERROR(VLOOKUP($K623,Parameters!$A$5:$D$101,4,FALSE),"")</f>
        <v/>
      </c>
      <c r="S623" s="19"/>
      <c r="T623" s="19"/>
      <c r="U623" s="19"/>
      <c r="V623" s="19"/>
      <c r="W623" s="19"/>
      <c r="X623" s="19"/>
    </row>
    <row r="624" spans="1: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 t="str">
        <f>IFERROR(VLOOKUP($K624,Parameters!$A$5:$D$101,3,FALSE),"")</f>
        <v/>
      </c>
      <c r="R624" s="19" t="str">
        <f>IFERROR(VLOOKUP($K624,Parameters!$A$5:$D$101,4,FALSE),"")</f>
        <v/>
      </c>
      <c r="S624" s="19"/>
      <c r="T624" s="19"/>
      <c r="U624" s="19"/>
      <c r="V624" s="19"/>
      <c r="W624" s="19"/>
      <c r="X624" s="19"/>
    </row>
    <row r="625" spans="1:24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 t="str">
        <f>IFERROR(VLOOKUP($K625,Parameters!$A$5:$D$101,3,FALSE),"")</f>
        <v/>
      </c>
      <c r="R625" s="19" t="str">
        <f>IFERROR(VLOOKUP($K625,Parameters!$A$5:$D$101,4,FALSE),"")</f>
        <v/>
      </c>
      <c r="S625" s="19"/>
      <c r="T625" s="19"/>
      <c r="U625" s="19"/>
      <c r="V625" s="19"/>
      <c r="W625" s="19"/>
      <c r="X625" s="19"/>
    </row>
    <row r="626" spans="1:24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 t="str">
        <f>IFERROR(VLOOKUP($K626,Parameters!$A$5:$D$101,3,FALSE),"")</f>
        <v/>
      </c>
      <c r="R626" s="19" t="str">
        <f>IFERROR(VLOOKUP($K626,Parameters!$A$5:$D$101,4,FALSE),"")</f>
        <v/>
      </c>
      <c r="S626" s="19"/>
      <c r="T626" s="19"/>
      <c r="U626" s="19"/>
      <c r="V626" s="19"/>
      <c r="W626" s="19"/>
      <c r="X626" s="19"/>
    </row>
    <row r="627" spans="1:24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 t="str">
        <f>IFERROR(VLOOKUP($K627,Parameters!$A$5:$D$101,3,FALSE),"")</f>
        <v/>
      </c>
      <c r="R627" s="19" t="str">
        <f>IFERROR(VLOOKUP($K627,Parameters!$A$5:$D$101,4,FALSE),"")</f>
        <v/>
      </c>
      <c r="S627" s="19"/>
      <c r="T627" s="19"/>
      <c r="U627" s="19"/>
      <c r="V627" s="19"/>
      <c r="W627" s="19"/>
      <c r="X627" s="19"/>
    </row>
    <row r="628" spans="1:24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 t="str">
        <f>IFERROR(VLOOKUP($K628,Parameters!$A$5:$D$101,3,FALSE),"")</f>
        <v/>
      </c>
      <c r="R628" s="19" t="str">
        <f>IFERROR(VLOOKUP($K628,Parameters!$A$5:$D$101,4,FALSE),"")</f>
        <v/>
      </c>
      <c r="S628" s="19"/>
      <c r="T628" s="19"/>
      <c r="U628" s="19"/>
      <c r="V628" s="19"/>
      <c r="W628" s="19"/>
      <c r="X628" s="19"/>
    </row>
    <row r="629" spans="1:24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 t="str">
        <f>IFERROR(VLOOKUP($K629,Parameters!$A$5:$D$101,3,FALSE),"")</f>
        <v/>
      </c>
      <c r="R629" s="19" t="str">
        <f>IFERROR(VLOOKUP($K629,Parameters!$A$5:$D$101,4,FALSE),"")</f>
        <v/>
      </c>
      <c r="S629" s="19"/>
      <c r="T629" s="19"/>
      <c r="U629" s="19"/>
      <c r="V629" s="19"/>
      <c r="W629" s="19"/>
      <c r="X629" s="19"/>
    </row>
    <row r="630" spans="1:24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 t="str">
        <f>IFERROR(VLOOKUP($K630,Parameters!$A$5:$D$101,3,FALSE),"")</f>
        <v/>
      </c>
      <c r="R630" s="19" t="str">
        <f>IFERROR(VLOOKUP($K630,Parameters!$A$5:$D$101,4,FALSE),"")</f>
        <v/>
      </c>
      <c r="S630" s="19"/>
      <c r="T630" s="19"/>
      <c r="U630" s="19"/>
      <c r="V630" s="19"/>
      <c r="W630" s="19"/>
      <c r="X630" s="19"/>
    </row>
    <row r="631" spans="1:24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 t="str">
        <f>IFERROR(VLOOKUP($K631,Parameters!$A$5:$D$101,3,FALSE),"")</f>
        <v/>
      </c>
      <c r="R631" s="19" t="str">
        <f>IFERROR(VLOOKUP($K631,Parameters!$A$5:$D$101,4,FALSE),"")</f>
        <v/>
      </c>
      <c r="S631" s="19"/>
      <c r="T631" s="19"/>
      <c r="U631" s="19"/>
      <c r="V631" s="19"/>
      <c r="W631" s="19"/>
      <c r="X631" s="19"/>
    </row>
    <row r="632" spans="1:24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 t="str">
        <f>IFERROR(VLOOKUP($K632,Parameters!$A$5:$D$101,3,FALSE),"")</f>
        <v/>
      </c>
      <c r="R632" s="19" t="str">
        <f>IFERROR(VLOOKUP($K632,Parameters!$A$5:$D$101,4,FALSE),"")</f>
        <v/>
      </c>
      <c r="S632" s="19"/>
      <c r="T632" s="19"/>
      <c r="U632" s="19"/>
      <c r="V632" s="19"/>
      <c r="W632" s="19"/>
      <c r="X632" s="19"/>
    </row>
    <row r="633" spans="1:24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 t="str">
        <f>IFERROR(VLOOKUP($K633,Parameters!$A$5:$D$101,3,FALSE),"")</f>
        <v/>
      </c>
      <c r="R633" s="19" t="str">
        <f>IFERROR(VLOOKUP($K633,Parameters!$A$5:$D$101,4,FALSE),"")</f>
        <v/>
      </c>
      <c r="S633" s="19"/>
      <c r="T633" s="19"/>
      <c r="U633" s="19"/>
      <c r="V633" s="19"/>
      <c r="W633" s="19"/>
      <c r="X633" s="19"/>
    </row>
    <row r="634" spans="1:2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 t="str">
        <f>IFERROR(VLOOKUP($K634,Parameters!$A$5:$D$101,3,FALSE),"")</f>
        <v/>
      </c>
      <c r="R634" s="19" t="str">
        <f>IFERROR(VLOOKUP($K634,Parameters!$A$5:$D$101,4,FALSE),"")</f>
        <v/>
      </c>
      <c r="S634" s="19"/>
      <c r="T634" s="19"/>
      <c r="U634" s="19"/>
      <c r="V634" s="19"/>
      <c r="W634" s="19"/>
      <c r="X634" s="19"/>
    </row>
    <row r="635" spans="1:24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 t="str">
        <f>IFERROR(VLOOKUP($K635,Parameters!$A$5:$D$101,3,FALSE),"")</f>
        <v/>
      </c>
      <c r="R635" s="19" t="str">
        <f>IFERROR(VLOOKUP($K635,Parameters!$A$5:$D$101,4,FALSE),"")</f>
        <v/>
      </c>
      <c r="S635" s="19"/>
      <c r="T635" s="19"/>
      <c r="U635" s="19"/>
      <c r="V635" s="19"/>
      <c r="W635" s="19"/>
      <c r="X635" s="19"/>
    </row>
    <row r="636" spans="1:24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 t="str">
        <f>IFERROR(VLOOKUP($K636,Parameters!$A$5:$D$101,3,FALSE),"")</f>
        <v/>
      </c>
      <c r="R636" s="19" t="str">
        <f>IFERROR(VLOOKUP($K636,Parameters!$A$5:$D$101,4,FALSE),"")</f>
        <v/>
      </c>
      <c r="S636" s="19"/>
      <c r="T636" s="19"/>
      <c r="U636" s="19"/>
      <c r="V636" s="19"/>
      <c r="W636" s="19"/>
      <c r="X636" s="19"/>
    </row>
    <row r="637" spans="1:24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 t="str">
        <f>IFERROR(VLOOKUP($K637,Parameters!$A$5:$D$101,3,FALSE),"")</f>
        <v/>
      </c>
      <c r="R637" s="19" t="str">
        <f>IFERROR(VLOOKUP($K637,Parameters!$A$5:$D$101,4,FALSE),"")</f>
        <v/>
      </c>
      <c r="S637" s="19"/>
      <c r="T637" s="19"/>
      <c r="U637" s="19"/>
      <c r="V637" s="19"/>
      <c r="W637" s="19"/>
      <c r="X637" s="19"/>
    </row>
    <row r="638" spans="1:24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 t="str">
        <f>IFERROR(VLOOKUP($K638,Parameters!$A$5:$D$101,3,FALSE),"")</f>
        <v/>
      </c>
      <c r="R638" s="19" t="str">
        <f>IFERROR(VLOOKUP($K638,Parameters!$A$5:$D$101,4,FALSE),"")</f>
        <v/>
      </c>
      <c r="S638" s="19"/>
      <c r="T638" s="19"/>
      <c r="U638" s="19"/>
      <c r="V638" s="19"/>
      <c r="W638" s="19"/>
      <c r="X638" s="19"/>
    </row>
    <row r="639" spans="1:24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 t="str">
        <f>IFERROR(VLOOKUP($K639,Parameters!$A$5:$D$101,3,FALSE),"")</f>
        <v/>
      </c>
      <c r="R639" s="19" t="str">
        <f>IFERROR(VLOOKUP($K639,Parameters!$A$5:$D$101,4,FALSE),"")</f>
        <v/>
      </c>
      <c r="S639" s="19"/>
      <c r="T639" s="19"/>
      <c r="U639" s="19"/>
      <c r="V639" s="19"/>
      <c r="W639" s="19"/>
      <c r="X639" s="19"/>
    </row>
    <row r="640" spans="1:24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 t="str">
        <f>IFERROR(VLOOKUP($K640,Parameters!$A$5:$D$101,3,FALSE),"")</f>
        <v/>
      </c>
      <c r="R640" s="19" t="str">
        <f>IFERROR(VLOOKUP($K640,Parameters!$A$5:$D$101,4,FALSE),"")</f>
        <v/>
      </c>
      <c r="S640" s="19"/>
      <c r="T640" s="19"/>
      <c r="U640" s="19"/>
      <c r="V640" s="19"/>
      <c r="W640" s="19"/>
      <c r="X640" s="19"/>
    </row>
    <row r="641" spans="1:24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 t="str">
        <f>IFERROR(VLOOKUP($K641,Parameters!$A$5:$D$101,3,FALSE),"")</f>
        <v/>
      </c>
      <c r="R641" s="19" t="str">
        <f>IFERROR(VLOOKUP($K641,Parameters!$A$5:$D$101,4,FALSE),"")</f>
        <v/>
      </c>
      <c r="S641" s="19"/>
      <c r="T641" s="19"/>
      <c r="U641" s="19"/>
      <c r="V641" s="19"/>
      <c r="W641" s="19"/>
      <c r="X641" s="19"/>
    </row>
    <row r="642" spans="1:24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 t="str">
        <f>IFERROR(VLOOKUP($K642,Parameters!$A$5:$D$101,3,FALSE),"")</f>
        <v/>
      </c>
      <c r="R642" s="19" t="str">
        <f>IFERROR(VLOOKUP($K642,Parameters!$A$5:$D$101,4,FALSE),"")</f>
        <v/>
      </c>
      <c r="S642" s="19"/>
      <c r="T642" s="19"/>
      <c r="U642" s="19"/>
      <c r="V642" s="19"/>
      <c r="W642" s="19"/>
      <c r="X642" s="19"/>
    </row>
    <row r="643" spans="1:24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 t="str">
        <f>IFERROR(VLOOKUP($K643,Parameters!$A$5:$D$101,3,FALSE),"")</f>
        <v/>
      </c>
      <c r="R643" s="19" t="str">
        <f>IFERROR(VLOOKUP($K643,Parameters!$A$5:$D$101,4,FALSE),"")</f>
        <v/>
      </c>
      <c r="S643" s="19"/>
      <c r="T643" s="19"/>
      <c r="U643" s="19"/>
      <c r="V643" s="19"/>
      <c r="W643" s="19"/>
      <c r="X643" s="19"/>
    </row>
    <row r="644" spans="1:2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 t="str">
        <f>IFERROR(VLOOKUP($K644,Parameters!$A$5:$D$101,3,FALSE),"")</f>
        <v/>
      </c>
      <c r="R644" s="19" t="str">
        <f>IFERROR(VLOOKUP($K644,Parameters!$A$5:$D$101,4,FALSE),"")</f>
        <v/>
      </c>
      <c r="S644" s="19"/>
      <c r="T644" s="19"/>
      <c r="U644" s="19"/>
      <c r="V644" s="19"/>
      <c r="W644" s="19"/>
      <c r="X644" s="19"/>
    </row>
    <row r="645" spans="1:24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 t="str">
        <f>IFERROR(VLOOKUP($K645,Parameters!$A$5:$D$101,3,FALSE),"")</f>
        <v/>
      </c>
      <c r="R645" s="19" t="str">
        <f>IFERROR(VLOOKUP($K645,Parameters!$A$5:$D$101,4,FALSE),"")</f>
        <v/>
      </c>
      <c r="S645" s="19"/>
      <c r="T645" s="19"/>
      <c r="U645" s="19"/>
      <c r="V645" s="19"/>
      <c r="W645" s="19"/>
      <c r="X645" s="19"/>
    </row>
    <row r="646" spans="1:24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 t="str">
        <f>IFERROR(VLOOKUP($K646,Parameters!$A$5:$D$101,3,FALSE),"")</f>
        <v/>
      </c>
      <c r="R646" s="19" t="str">
        <f>IFERROR(VLOOKUP($K646,Parameters!$A$5:$D$101,4,FALSE),"")</f>
        <v/>
      </c>
      <c r="S646" s="19"/>
      <c r="T646" s="19"/>
      <c r="U646" s="19"/>
      <c r="V646" s="19"/>
      <c r="W646" s="19"/>
      <c r="X646" s="19"/>
    </row>
    <row r="647" spans="1:24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 t="str">
        <f>IFERROR(VLOOKUP($K647,Parameters!$A$5:$D$101,3,FALSE),"")</f>
        <v/>
      </c>
      <c r="R647" s="19" t="str">
        <f>IFERROR(VLOOKUP($K647,Parameters!$A$5:$D$101,4,FALSE),"")</f>
        <v/>
      </c>
      <c r="S647" s="19"/>
      <c r="T647" s="19"/>
      <c r="U647" s="19"/>
      <c r="V647" s="19"/>
      <c r="W647" s="19"/>
      <c r="X647" s="19"/>
    </row>
    <row r="648" spans="1:24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 t="str">
        <f>IFERROR(VLOOKUP($K648,Parameters!$A$5:$D$101,3,FALSE),"")</f>
        <v/>
      </c>
      <c r="R648" s="19" t="str">
        <f>IFERROR(VLOOKUP($K648,Parameters!$A$5:$D$101,4,FALSE),"")</f>
        <v/>
      </c>
      <c r="S648" s="19"/>
      <c r="T648" s="19"/>
      <c r="U648" s="19"/>
      <c r="V648" s="19"/>
      <c r="W648" s="19"/>
      <c r="X648" s="19"/>
    </row>
    <row r="649" spans="1:24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 t="str">
        <f>IFERROR(VLOOKUP($K649,Parameters!$A$5:$D$101,3,FALSE),"")</f>
        <v/>
      </c>
      <c r="R649" s="19" t="str">
        <f>IFERROR(VLOOKUP($K649,Parameters!$A$5:$D$101,4,FALSE),"")</f>
        <v/>
      </c>
      <c r="S649" s="19"/>
      <c r="T649" s="19"/>
      <c r="U649" s="19"/>
      <c r="V649" s="19"/>
      <c r="W649" s="19"/>
      <c r="X649" s="19"/>
    </row>
    <row r="650" spans="1:24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 t="str">
        <f>IFERROR(VLOOKUP($K650,Parameters!$A$5:$D$101,3,FALSE),"")</f>
        <v/>
      </c>
      <c r="R650" s="19" t="str">
        <f>IFERROR(VLOOKUP($K650,Parameters!$A$5:$D$101,4,FALSE),"")</f>
        <v/>
      </c>
      <c r="S650" s="19"/>
      <c r="T650" s="19"/>
      <c r="U650" s="19"/>
      <c r="V650" s="19"/>
      <c r="W650" s="19"/>
      <c r="X650" s="19"/>
    </row>
    <row r="651" spans="1:24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 t="str">
        <f>IFERROR(VLOOKUP($K651,Parameters!$A$5:$D$101,3,FALSE),"")</f>
        <v/>
      </c>
      <c r="R651" s="19" t="str">
        <f>IFERROR(VLOOKUP($K651,Parameters!$A$5:$D$101,4,FALSE),"")</f>
        <v/>
      </c>
      <c r="S651" s="19"/>
      <c r="T651" s="19"/>
      <c r="U651" s="19"/>
      <c r="V651" s="19"/>
      <c r="W651" s="19"/>
      <c r="X651" s="19"/>
    </row>
    <row r="652" spans="1:24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 t="str">
        <f>IFERROR(VLOOKUP($K652,Parameters!$A$5:$D$101,3,FALSE),"")</f>
        <v/>
      </c>
      <c r="R652" s="19" t="str">
        <f>IFERROR(VLOOKUP($K652,Parameters!$A$5:$D$101,4,FALSE),"")</f>
        <v/>
      </c>
      <c r="S652" s="19"/>
      <c r="T652" s="19"/>
      <c r="U652" s="19"/>
      <c r="V652" s="19"/>
      <c r="W652" s="19"/>
      <c r="X652" s="19"/>
    </row>
    <row r="653" spans="1:24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 t="str">
        <f>IFERROR(VLOOKUP($K653,Parameters!$A$5:$D$101,3,FALSE),"")</f>
        <v/>
      </c>
      <c r="R653" s="19" t="str">
        <f>IFERROR(VLOOKUP($K653,Parameters!$A$5:$D$101,4,FALSE),"")</f>
        <v/>
      </c>
      <c r="S653" s="19"/>
      <c r="T653" s="19"/>
      <c r="U653" s="19"/>
      <c r="V653" s="19"/>
      <c r="W653" s="19"/>
      <c r="X653" s="19"/>
    </row>
    <row r="654" spans="1:2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 t="str">
        <f>IFERROR(VLOOKUP($K654,Parameters!$A$5:$D$101,3,FALSE),"")</f>
        <v/>
      </c>
      <c r="R654" s="19" t="str">
        <f>IFERROR(VLOOKUP($K654,Parameters!$A$5:$D$101,4,FALSE),"")</f>
        <v/>
      </c>
      <c r="S654" s="19"/>
      <c r="T654" s="19"/>
      <c r="U654" s="19"/>
      <c r="V654" s="19"/>
      <c r="W654" s="19"/>
      <c r="X654" s="19"/>
    </row>
    <row r="655" spans="1:24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 t="str">
        <f>IFERROR(VLOOKUP($K655,Parameters!$A$5:$D$101,3,FALSE),"")</f>
        <v/>
      </c>
      <c r="R655" s="19" t="str">
        <f>IFERROR(VLOOKUP($K655,Parameters!$A$5:$D$101,4,FALSE),"")</f>
        <v/>
      </c>
      <c r="S655" s="19"/>
      <c r="T655" s="19"/>
      <c r="U655" s="19"/>
      <c r="V655" s="19"/>
      <c r="W655" s="19"/>
      <c r="X655" s="19"/>
    </row>
    <row r="656" spans="1:24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 t="str">
        <f>IFERROR(VLOOKUP($K656,Parameters!$A$5:$D$101,3,FALSE),"")</f>
        <v/>
      </c>
      <c r="R656" s="19" t="str">
        <f>IFERROR(VLOOKUP($K656,Parameters!$A$5:$D$101,4,FALSE),"")</f>
        <v/>
      </c>
      <c r="S656" s="19"/>
      <c r="T656" s="19"/>
      <c r="U656" s="19"/>
      <c r="V656" s="19"/>
      <c r="W656" s="19"/>
      <c r="X656" s="19"/>
    </row>
    <row r="657" spans="1:24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 t="str">
        <f>IFERROR(VLOOKUP($K657,Parameters!$A$5:$D$101,3,FALSE),"")</f>
        <v/>
      </c>
      <c r="R657" s="19" t="str">
        <f>IFERROR(VLOOKUP($K657,Parameters!$A$5:$D$101,4,FALSE),"")</f>
        <v/>
      </c>
      <c r="S657" s="19"/>
      <c r="T657" s="19"/>
      <c r="U657" s="19"/>
      <c r="V657" s="19"/>
      <c r="W657" s="19"/>
      <c r="X657" s="19"/>
    </row>
    <row r="658" spans="1:24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 t="str">
        <f>IFERROR(VLOOKUP($K658,Parameters!$A$5:$D$101,3,FALSE),"")</f>
        <v/>
      </c>
      <c r="R658" s="19" t="str">
        <f>IFERROR(VLOOKUP($K658,Parameters!$A$5:$D$101,4,FALSE),"")</f>
        <v/>
      </c>
      <c r="S658" s="19"/>
      <c r="T658" s="19"/>
      <c r="U658" s="19"/>
      <c r="V658" s="19"/>
      <c r="W658" s="19"/>
      <c r="X658" s="19"/>
    </row>
    <row r="659" spans="1:24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 t="str">
        <f>IFERROR(VLOOKUP($K659,Parameters!$A$5:$D$101,3,FALSE),"")</f>
        <v/>
      </c>
      <c r="R659" s="19" t="str">
        <f>IFERROR(VLOOKUP($K659,Parameters!$A$5:$D$101,4,FALSE),"")</f>
        <v/>
      </c>
      <c r="S659" s="19"/>
      <c r="T659" s="19"/>
      <c r="U659" s="19"/>
      <c r="V659" s="19"/>
      <c r="W659" s="19"/>
      <c r="X659" s="19"/>
    </row>
    <row r="660" spans="1:24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 t="str">
        <f>IFERROR(VLOOKUP($K660,Parameters!$A$5:$D$101,3,FALSE),"")</f>
        <v/>
      </c>
      <c r="R660" s="19" t="str">
        <f>IFERROR(VLOOKUP($K660,Parameters!$A$5:$D$101,4,FALSE),"")</f>
        <v/>
      </c>
      <c r="S660" s="19"/>
      <c r="T660" s="19"/>
      <c r="U660" s="19"/>
      <c r="V660" s="19"/>
      <c r="W660" s="19"/>
      <c r="X660" s="19"/>
    </row>
    <row r="661" spans="1:24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 t="str">
        <f>IFERROR(VLOOKUP($K661,Parameters!$A$5:$D$101,3,FALSE),"")</f>
        <v/>
      </c>
      <c r="R661" s="19" t="str">
        <f>IFERROR(VLOOKUP($K661,Parameters!$A$5:$D$101,4,FALSE),"")</f>
        <v/>
      </c>
      <c r="S661" s="19"/>
      <c r="T661" s="19"/>
      <c r="U661" s="19"/>
      <c r="V661" s="19"/>
      <c r="W661" s="19"/>
      <c r="X661" s="19"/>
    </row>
    <row r="662" spans="1:24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 t="str">
        <f>IFERROR(VLOOKUP($K662,Parameters!$A$5:$D$101,3,FALSE),"")</f>
        <v/>
      </c>
      <c r="R662" s="19" t="str">
        <f>IFERROR(VLOOKUP($K662,Parameters!$A$5:$D$101,4,FALSE),"")</f>
        <v/>
      </c>
      <c r="S662" s="19"/>
      <c r="T662" s="19"/>
      <c r="U662" s="19"/>
      <c r="V662" s="19"/>
      <c r="W662" s="19"/>
      <c r="X662" s="19"/>
    </row>
    <row r="663" spans="1:24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 t="str">
        <f>IFERROR(VLOOKUP($K663,Parameters!$A$5:$D$101,3,FALSE),"")</f>
        <v/>
      </c>
      <c r="R663" s="19" t="str">
        <f>IFERROR(VLOOKUP($K663,Parameters!$A$5:$D$101,4,FALSE),"")</f>
        <v/>
      </c>
      <c r="S663" s="19"/>
      <c r="T663" s="19"/>
      <c r="U663" s="19"/>
      <c r="V663" s="19"/>
      <c r="W663" s="19"/>
      <c r="X663" s="19"/>
    </row>
    <row r="664" spans="1:2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 t="str">
        <f>IFERROR(VLOOKUP($K664,Parameters!$A$5:$D$101,3,FALSE),"")</f>
        <v/>
      </c>
      <c r="R664" s="19" t="str">
        <f>IFERROR(VLOOKUP($K664,Parameters!$A$5:$D$101,4,FALSE),"")</f>
        <v/>
      </c>
      <c r="S664" s="19"/>
      <c r="T664" s="19"/>
      <c r="U664" s="19"/>
      <c r="V664" s="19"/>
      <c r="W664" s="19"/>
      <c r="X664" s="19"/>
    </row>
    <row r="665" spans="1:24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 t="str">
        <f>IFERROR(VLOOKUP($K665,Parameters!$A$5:$D$101,3,FALSE),"")</f>
        <v/>
      </c>
      <c r="R665" s="19" t="str">
        <f>IFERROR(VLOOKUP($K665,Parameters!$A$5:$D$101,4,FALSE),"")</f>
        <v/>
      </c>
      <c r="S665" s="19"/>
      <c r="T665" s="19"/>
      <c r="U665" s="19"/>
      <c r="V665" s="19"/>
      <c r="W665" s="19"/>
      <c r="X665" s="19"/>
    </row>
    <row r="666" spans="1:24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 t="str">
        <f>IFERROR(VLOOKUP($K666,Parameters!$A$5:$D$101,3,FALSE),"")</f>
        <v/>
      </c>
      <c r="R666" s="19" t="str">
        <f>IFERROR(VLOOKUP($K666,Parameters!$A$5:$D$101,4,FALSE),"")</f>
        <v/>
      </c>
      <c r="S666" s="19"/>
      <c r="T666" s="19"/>
      <c r="U666" s="19"/>
      <c r="V666" s="19"/>
      <c r="W666" s="19"/>
      <c r="X666" s="19"/>
    </row>
    <row r="667" spans="1:24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 t="str">
        <f>IFERROR(VLOOKUP($K667,Parameters!$A$5:$D$101,3,FALSE),"")</f>
        <v/>
      </c>
      <c r="R667" s="19" t="str">
        <f>IFERROR(VLOOKUP($K667,Parameters!$A$5:$D$101,4,FALSE),"")</f>
        <v/>
      </c>
      <c r="S667" s="19"/>
      <c r="T667" s="19"/>
      <c r="U667" s="19"/>
      <c r="V667" s="19"/>
      <c r="W667" s="19"/>
      <c r="X667" s="19"/>
    </row>
    <row r="668" spans="1:24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 t="str">
        <f>IFERROR(VLOOKUP($K668,Parameters!$A$5:$D$101,3,FALSE),"")</f>
        <v/>
      </c>
      <c r="R668" s="19" t="str">
        <f>IFERROR(VLOOKUP($K668,Parameters!$A$5:$D$101,4,FALSE),"")</f>
        <v/>
      </c>
      <c r="S668" s="19"/>
      <c r="T668" s="19"/>
      <c r="U668" s="19"/>
      <c r="V668" s="19"/>
      <c r="W668" s="19"/>
      <c r="X668" s="19"/>
    </row>
    <row r="669" spans="1:24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 t="str">
        <f>IFERROR(VLOOKUP($K669,Parameters!$A$5:$D$101,3,FALSE),"")</f>
        <v/>
      </c>
      <c r="R669" s="19" t="str">
        <f>IFERROR(VLOOKUP($K669,Parameters!$A$5:$D$101,4,FALSE),"")</f>
        <v/>
      </c>
      <c r="S669" s="19"/>
      <c r="T669" s="19"/>
      <c r="U669" s="19"/>
      <c r="V669" s="19"/>
      <c r="W669" s="19"/>
      <c r="X669" s="19"/>
    </row>
    <row r="670" spans="1:24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 t="str">
        <f>IFERROR(VLOOKUP($K670,Parameters!$A$5:$D$101,3,FALSE),"")</f>
        <v/>
      </c>
      <c r="R670" s="19" t="str">
        <f>IFERROR(VLOOKUP($K670,Parameters!$A$5:$D$101,4,FALSE),"")</f>
        <v/>
      </c>
      <c r="S670" s="19"/>
      <c r="T670" s="19"/>
      <c r="U670" s="19"/>
      <c r="V670" s="19"/>
      <c r="W670" s="19"/>
      <c r="X670" s="19"/>
    </row>
    <row r="671" spans="1:24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 t="str">
        <f>IFERROR(VLOOKUP($K671,Parameters!$A$5:$D$101,3,FALSE),"")</f>
        <v/>
      </c>
      <c r="R671" s="19" t="str">
        <f>IFERROR(VLOOKUP($K671,Parameters!$A$5:$D$101,4,FALSE),"")</f>
        <v/>
      </c>
      <c r="S671" s="19"/>
      <c r="T671" s="19"/>
      <c r="U671" s="19"/>
      <c r="V671" s="19"/>
      <c r="W671" s="19"/>
      <c r="X671" s="19"/>
    </row>
    <row r="672" spans="1:24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 t="str">
        <f>IFERROR(VLOOKUP($K672,Parameters!$A$5:$D$101,3,FALSE),"")</f>
        <v/>
      </c>
      <c r="R672" s="19" t="str">
        <f>IFERROR(VLOOKUP($K672,Parameters!$A$5:$D$101,4,FALSE),"")</f>
        <v/>
      </c>
      <c r="S672" s="19"/>
      <c r="T672" s="19"/>
      <c r="U672" s="19"/>
      <c r="V672" s="19"/>
      <c r="W672" s="19"/>
      <c r="X672" s="19"/>
    </row>
    <row r="673" spans="1:24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 t="str">
        <f>IFERROR(VLOOKUP($K673,Parameters!$A$5:$D$101,3,FALSE),"")</f>
        <v/>
      </c>
      <c r="R673" s="19" t="str">
        <f>IFERROR(VLOOKUP($K673,Parameters!$A$5:$D$101,4,FALSE),"")</f>
        <v/>
      </c>
      <c r="S673" s="19"/>
      <c r="T673" s="19"/>
      <c r="U673" s="19"/>
      <c r="V673" s="19"/>
      <c r="W673" s="19"/>
      <c r="X673" s="19"/>
    </row>
    <row r="674" spans="1:2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 t="str">
        <f>IFERROR(VLOOKUP($K674,Parameters!$A$5:$D$101,3,FALSE),"")</f>
        <v/>
      </c>
      <c r="R674" s="19" t="str">
        <f>IFERROR(VLOOKUP($K674,Parameters!$A$5:$D$101,4,FALSE),"")</f>
        <v/>
      </c>
      <c r="S674" s="19"/>
      <c r="T674" s="19"/>
      <c r="U674" s="19"/>
      <c r="V674" s="19"/>
      <c r="W674" s="19"/>
      <c r="X674" s="19"/>
    </row>
    <row r="675" spans="1:24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 t="str">
        <f>IFERROR(VLOOKUP($K675,Parameters!$A$5:$D$101,3,FALSE),"")</f>
        <v/>
      </c>
      <c r="R675" s="19" t="str">
        <f>IFERROR(VLOOKUP($K675,Parameters!$A$5:$D$101,4,FALSE),"")</f>
        <v/>
      </c>
      <c r="S675" s="19"/>
      <c r="T675" s="19"/>
      <c r="U675" s="19"/>
      <c r="V675" s="19"/>
      <c r="W675" s="19"/>
      <c r="X675" s="19"/>
    </row>
    <row r="676" spans="1:24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 t="str">
        <f>IFERROR(VLOOKUP($K676,Parameters!$A$5:$D$101,3,FALSE),"")</f>
        <v/>
      </c>
      <c r="R676" s="19" t="str">
        <f>IFERROR(VLOOKUP($K676,Parameters!$A$5:$D$101,4,FALSE),"")</f>
        <v/>
      </c>
      <c r="S676" s="19"/>
      <c r="T676" s="19"/>
      <c r="U676" s="19"/>
      <c r="V676" s="19"/>
      <c r="W676" s="19"/>
      <c r="X676" s="19"/>
    </row>
    <row r="677" spans="1:24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 t="str">
        <f>IFERROR(VLOOKUP($K677,Parameters!$A$5:$D$101,3,FALSE),"")</f>
        <v/>
      </c>
      <c r="R677" s="19" t="str">
        <f>IFERROR(VLOOKUP($K677,Parameters!$A$5:$D$101,4,FALSE),"")</f>
        <v/>
      </c>
      <c r="S677" s="19"/>
      <c r="T677" s="19"/>
      <c r="U677" s="19"/>
      <c r="V677" s="19"/>
      <c r="W677" s="19"/>
      <c r="X677" s="19"/>
    </row>
    <row r="678" spans="1:24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 t="str">
        <f>IFERROR(VLOOKUP($K678,Parameters!$A$5:$D$101,3,FALSE),"")</f>
        <v/>
      </c>
      <c r="R678" s="19" t="str">
        <f>IFERROR(VLOOKUP($K678,Parameters!$A$5:$D$101,4,FALSE),"")</f>
        <v/>
      </c>
      <c r="S678" s="19"/>
      <c r="T678" s="19"/>
      <c r="U678" s="19"/>
      <c r="V678" s="19"/>
      <c r="W678" s="19"/>
      <c r="X678" s="19"/>
    </row>
    <row r="679" spans="1:24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 t="str">
        <f>IFERROR(VLOOKUP($K679,Parameters!$A$5:$D$101,3,FALSE),"")</f>
        <v/>
      </c>
      <c r="R679" s="19" t="str">
        <f>IFERROR(VLOOKUP($K679,Parameters!$A$5:$D$101,4,FALSE),"")</f>
        <v/>
      </c>
      <c r="S679" s="19"/>
      <c r="T679" s="19"/>
      <c r="U679" s="19"/>
      <c r="V679" s="19"/>
      <c r="W679" s="19"/>
      <c r="X679" s="19"/>
    </row>
    <row r="680" spans="1:24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 t="str">
        <f>IFERROR(VLOOKUP($K680,Parameters!$A$5:$D$101,3,FALSE),"")</f>
        <v/>
      </c>
      <c r="R680" s="19" t="str">
        <f>IFERROR(VLOOKUP($K680,Parameters!$A$5:$D$101,4,FALSE),"")</f>
        <v/>
      </c>
      <c r="S680" s="19"/>
      <c r="T680" s="19"/>
      <c r="U680" s="19"/>
      <c r="V680" s="19"/>
      <c r="W680" s="19"/>
      <c r="X680" s="19"/>
    </row>
    <row r="681" spans="1:24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 t="str">
        <f>IFERROR(VLOOKUP($K681,Parameters!$A$5:$D$101,3,FALSE),"")</f>
        <v/>
      </c>
      <c r="R681" s="19" t="str">
        <f>IFERROR(VLOOKUP($K681,Parameters!$A$5:$D$101,4,FALSE),"")</f>
        <v/>
      </c>
      <c r="S681" s="19"/>
      <c r="T681" s="19"/>
      <c r="U681" s="19"/>
      <c r="V681" s="19"/>
      <c r="W681" s="19"/>
      <c r="X681" s="19"/>
    </row>
    <row r="682" spans="1:24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 t="str">
        <f>IFERROR(VLOOKUP($K682,Parameters!$A$5:$D$101,3,FALSE),"")</f>
        <v/>
      </c>
      <c r="R682" s="19" t="str">
        <f>IFERROR(VLOOKUP($K682,Parameters!$A$5:$D$101,4,FALSE),"")</f>
        <v/>
      </c>
      <c r="S682" s="19"/>
      <c r="T682" s="19"/>
      <c r="U682" s="19"/>
      <c r="V682" s="19"/>
      <c r="W682" s="19"/>
      <c r="X682" s="19"/>
    </row>
    <row r="683" spans="1:24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 t="str">
        <f>IFERROR(VLOOKUP($K683,Parameters!$A$5:$D$101,3,FALSE),"")</f>
        <v/>
      </c>
      <c r="R683" s="19" t="str">
        <f>IFERROR(VLOOKUP($K683,Parameters!$A$5:$D$101,4,FALSE),"")</f>
        <v/>
      </c>
      <c r="S683" s="19"/>
      <c r="T683" s="19"/>
      <c r="U683" s="19"/>
      <c r="V683" s="19"/>
      <c r="W683" s="19"/>
      <c r="X683" s="19"/>
    </row>
    <row r="684" spans="1:2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 t="str">
        <f>IFERROR(VLOOKUP($K684,Parameters!$A$5:$D$101,3,FALSE),"")</f>
        <v/>
      </c>
      <c r="R684" s="19" t="str">
        <f>IFERROR(VLOOKUP($K684,Parameters!$A$5:$D$101,4,FALSE),"")</f>
        <v/>
      </c>
      <c r="S684" s="19"/>
      <c r="T684" s="19"/>
      <c r="U684" s="19"/>
      <c r="V684" s="19"/>
      <c r="W684" s="19"/>
      <c r="X684" s="19"/>
    </row>
    <row r="685" spans="1:24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 t="str">
        <f>IFERROR(VLOOKUP($K685,Parameters!$A$5:$D$101,3,FALSE),"")</f>
        <v/>
      </c>
      <c r="R685" s="19" t="str">
        <f>IFERROR(VLOOKUP($K685,Parameters!$A$5:$D$101,4,FALSE),"")</f>
        <v/>
      </c>
      <c r="S685" s="19"/>
      <c r="T685" s="19"/>
      <c r="U685" s="19"/>
      <c r="V685" s="19"/>
      <c r="W685" s="19"/>
      <c r="X685" s="19"/>
    </row>
    <row r="686" spans="1:24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 t="str">
        <f>IFERROR(VLOOKUP($K686,Parameters!$A$5:$D$101,3,FALSE),"")</f>
        <v/>
      </c>
      <c r="R686" s="19" t="str">
        <f>IFERROR(VLOOKUP($K686,Parameters!$A$5:$D$101,4,FALSE),"")</f>
        <v/>
      </c>
      <c r="S686" s="19"/>
      <c r="T686" s="19"/>
      <c r="U686" s="19"/>
      <c r="V686" s="19"/>
      <c r="W686" s="19"/>
      <c r="X686" s="19"/>
    </row>
    <row r="687" spans="1:24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 t="str">
        <f>IFERROR(VLOOKUP($K687,Parameters!$A$5:$D$101,3,FALSE),"")</f>
        <v/>
      </c>
      <c r="R687" s="19" t="str">
        <f>IFERROR(VLOOKUP($K687,Parameters!$A$5:$D$101,4,FALSE),"")</f>
        <v/>
      </c>
      <c r="S687" s="19"/>
      <c r="T687" s="19"/>
      <c r="U687" s="19"/>
      <c r="V687" s="19"/>
      <c r="W687" s="19"/>
      <c r="X687" s="19"/>
    </row>
    <row r="688" spans="1:24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 t="str">
        <f>IFERROR(VLOOKUP($K688,Parameters!$A$5:$D$101,3,FALSE),"")</f>
        <v/>
      </c>
      <c r="R688" s="19" t="str">
        <f>IFERROR(VLOOKUP($K688,Parameters!$A$5:$D$101,4,FALSE),"")</f>
        <v/>
      </c>
      <c r="S688" s="19"/>
      <c r="T688" s="19"/>
      <c r="U688" s="19"/>
      <c r="V688" s="19"/>
      <c r="W688" s="19"/>
      <c r="X688" s="19"/>
    </row>
    <row r="689" spans="1:24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 t="str">
        <f>IFERROR(VLOOKUP($K689,Parameters!$A$5:$D$101,3,FALSE),"")</f>
        <v/>
      </c>
      <c r="R689" s="19" t="str">
        <f>IFERROR(VLOOKUP($K689,Parameters!$A$5:$D$101,4,FALSE),"")</f>
        <v/>
      </c>
      <c r="S689" s="19"/>
      <c r="T689" s="19"/>
      <c r="U689" s="19"/>
      <c r="V689" s="19"/>
      <c r="W689" s="19"/>
      <c r="X689" s="19"/>
    </row>
    <row r="690" spans="1:24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 t="str">
        <f>IFERROR(VLOOKUP($K690,Parameters!$A$5:$D$101,3,FALSE),"")</f>
        <v/>
      </c>
      <c r="R690" s="19" t="str">
        <f>IFERROR(VLOOKUP($K690,Parameters!$A$5:$D$101,4,FALSE),"")</f>
        <v/>
      </c>
      <c r="S690" s="19"/>
      <c r="T690" s="19"/>
      <c r="U690" s="19"/>
      <c r="V690" s="19"/>
      <c r="W690" s="19"/>
      <c r="X690" s="19"/>
    </row>
    <row r="691" spans="1:24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 t="str">
        <f>IFERROR(VLOOKUP($K691,Parameters!$A$5:$D$101,3,FALSE),"")</f>
        <v/>
      </c>
      <c r="R691" s="19" t="str">
        <f>IFERROR(VLOOKUP($K691,Parameters!$A$5:$D$101,4,FALSE),"")</f>
        <v/>
      </c>
      <c r="S691" s="19"/>
      <c r="T691" s="19"/>
      <c r="U691" s="19"/>
      <c r="V691" s="19"/>
      <c r="W691" s="19"/>
      <c r="X691" s="19"/>
    </row>
    <row r="692" spans="1:24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 t="str">
        <f>IFERROR(VLOOKUP($K692,Parameters!$A$5:$D$101,3,FALSE),"")</f>
        <v/>
      </c>
      <c r="R692" s="19" t="str">
        <f>IFERROR(VLOOKUP($K692,Parameters!$A$5:$D$101,4,FALSE),"")</f>
        <v/>
      </c>
      <c r="S692" s="19"/>
      <c r="T692" s="19"/>
      <c r="U692" s="19"/>
      <c r="V692" s="19"/>
      <c r="W692" s="19"/>
      <c r="X692" s="19"/>
    </row>
    <row r="693" spans="1:24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 t="str">
        <f>IFERROR(VLOOKUP($K693,Parameters!$A$5:$D$101,3,FALSE),"")</f>
        <v/>
      </c>
      <c r="R693" s="19" t="str">
        <f>IFERROR(VLOOKUP($K693,Parameters!$A$5:$D$101,4,FALSE),"")</f>
        <v/>
      </c>
      <c r="S693" s="19"/>
      <c r="T693" s="19"/>
      <c r="U693" s="19"/>
      <c r="V693" s="19"/>
      <c r="W693" s="19"/>
      <c r="X693" s="19"/>
    </row>
    <row r="694" spans="1:2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 t="str">
        <f>IFERROR(VLOOKUP($K694,Parameters!$A$5:$D$101,3,FALSE),"")</f>
        <v/>
      </c>
      <c r="R694" s="19" t="str">
        <f>IFERROR(VLOOKUP($K694,Parameters!$A$5:$D$101,4,FALSE),"")</f>
        <v/>
      </c>
      <c r="S694" s="19"/>
      <c r="T694" s="19"/>
      <c r="U694" s="19"/>
      <c r="V694" s="19"/>
      <c r="W694" s="19"/>
      <c r="X694" s="19"/>
    </row>
    <row r="695" spans="1:24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 t="str">
        <f>IFERROR(VLOOKUP($K695,Parameters!$A$5:$D$101,3,FALSE),"")</f>
        <v/>
      </c>
      <c r="R695" s="19" t="str">
        <f>IFERROR(VLOOKUP($K695,Parameters!$A$5:$D$101,4,FALSE),"")</f>
        <v/>
      </c>
      <c r="S695" s="19"/>
      <c r="T695" s="19"/>
      <c r="U695" s="19"/>
      <c r="V695" s="19"/>
      <c r="W695" s="19"/>
      <c r="X695" s="19"/>
    </row>
    <row r="696" spans="1:24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 t="str">
        <f>IFERROR(VLOOKUP($K696,Parameters!$A$5:$D$101,3,FALSE),"")</f>
        <v/>
      </c>
      <c r="R696" s="19" t="str">
        <f>IFERROR(VLOOKUP($K696,Parameters!$A$5:$D$101,4,FALSE),"")</f>
        <v/>
      </c>
      <c r="S696" s="19"/>
      <c r="T696" s="19"/>
      <c r="U696" s="19"/>
      <c r="V696" s="19"/>
      <c r="W696" s="19"/>
      <c r="X696" s="19"/>
    </row>
    <row r="697" spans="1:24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 t="str">
        <f>IFERROR(VLOOKUP($K697,Parameters!$A$5:$D$101,3,FALSE),"")</f>
        <v/>
      </c>
      <c r="R697" s="19" t="str">
        <f>IFERROR(VLOOKUP($K697,Parameters!$A$5:$D$101,4,FALSE),"")</f>
        <v/>
      </c>
      <c r="S697" s="19"/>
      <c r="T697" s="19"/>
      <c r="U697" s="19"/>
      <c r="V697" s="19"/>
      <c r="W697" s="19"/>
      <c r="X697" s="19"/>
    </row>
    <row r="698" spans="1:24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 t="str">
        <f>IFERROR(VLOOKUP($K698,Parameters!$A$5:$D$101,3,FALSE),"")</f>
        <v/>
      </c>
      <c r="R698" s="19" t="str">
        <f>IFERROR(VLOOKUP($K698,Parameters!$A$5:$D$101,4,FALSE),"")</f>
        <v/>
      </c>
      <c r="S698" s="19"/>
      <c r="T698" s="19"/>
      <c r="U698" s="19"/>
      <c r="V698" s="19"/>
      <c r="W698" s="19"/>
      <c r="X698" s="19"/>
    </row>
    <row r="699" spans="1:24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 t="str">
        <f>IFERROR(VLOOKUP($K699,Parameters!$A$5:$D$101,3,FALSE),"")</f>
        <v/>
      </c>
      <c r="R699" s="19" t="str">
        <f>IFERROR(VLOOKUP($K699,Parameters!$A$5:$D$101,4,FALSE),"")</f>
        <v/>
      </c>
      <c r="S699" s="19"/>
      <c r="T699" s="19"/>
      <c r="U699" s="19"/>
      <c r="V699" s="19"/>
      <c r="W699" s="19"/>
      <c r="X699" s="19"/>
    </row>
    <row r="700" spans="1:24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 t="str">
        <f>IFERROR(VLOOKUP($K700,Parameters!$A$5:$D$101,3,FALSE),"")</f>
        <v/>
      </c>
      <c r="R700" s="19" t="str">
        <f>IFERROR(VLOOKUP($K700,Parameters!$A$5:$D$101,4,FALSE),"")</f>
        <v/>
      </c>
      <c r="S700" s="19"/>
      <c r="T700" s="19"/>
      <c r="U700" s="19"/>
      <c r="V700" s="19"/>
      <c r="W700" s="19"/>
      <c r="X700" s="19"/>
    </row>
    <row r="701" spans="1:24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 t="str">
        <f>IFERROR(VLOOKUP($K701,Parameters!$A$5:$D$101,3,FALSE),"")</f>
        <v/>
      </c>
      <c r="R701" s="19" t="str">
        <f>IFERROR(VLOOKUP($K701,Parameters!$A$5:$D$101,4,FALSE),"")</f>
        <v/>
      </c>
      <c r="S701" s="19"/>
      <c r="T701" s="19"/>
      <c r="U701" s="19"/>
      <c r="V701" s="19"/>
      <c r="W701" s="19"/>
      <c r="X701" s="19"/>
    </row>
    <row r="702" spans="1:24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 t="str">
        <f>IFERROR(VLOOKUP($K702,Parameters!$A$5:$D$101,3,FALSE),"")</f>
        <v/>
      </c>
      <c r="R702" s="19" t="str">
        <f>IFERROR(VLOOKUP($K702,Parameters!$A$5:$D$101,4,FALSE),"")</f>
        <v/>
      </c>
      <c r="S702" s="19"/>
      <c r="T702" s="19"/>
      <c r="U702" s="19"/>
      <c r="V702" s="19"/>
      <c r="W702" s="19"/>
      <c r="X702" s="19"/>
    </row>
    <row r="703" spans="1:24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 t="str">
        <f>IFERROR(VLOOKUP($K703,Parameters!$A$5:$D$101,3,FALSE),"")</f>
        <v/>
      </c>
      <c r="R703" s="19" t="str">
        <f>IFERROR(VLOOKUP($K703,Parameters!$A$5:$D$101,4,FALSE),"")</f>
        <v/>
      </c>
      <c r="S703" s="19"/>
      <c r="T703" s="19"/>
      <c r="U703" s="19"/>
      <c r="V703" s="19"/>
      <c r="W703" s="19"/>
      <c r="X703" s="19"/>
    </row>
    <row r="704" spans="1:2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 t="str">
        <f>IFERROR(VLOOKUP($K704,Parameters!$A$5:$D$101,3,FALSE),"")</f>
        <v/>
      </c>
      <c r="R704" s="19" t="str">
        <f>IFERROR(VLOOKUP($K704,Parameters!$A$5:$D$101,4,FALSE),"")</f>
        <v/>
      </c>
      <c r="S704" s="19"/>
      <c r="T704" s="19"/>
      <c r="U704" s="19"/>
      <c r="V704" s="19"/>
      <c r="W704" s="19"/>
      <c r="X704" s="19"/>
    </row>
    <row r="705" spans="1:24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 t="str">
        <f>IFERROR(VLOOKUP($K705,Parameters!$A$5:$D$101,3,FALSE),"")</f>
        <v/>
      </c>
      <c r="R705" s="19" t="str">
        <f>IFERROR(VLOOKUP($K705,Parameters!$A$5:$D$101,4,FALSE),"")</f>
        <v/>
      </c>
      <c r="S705" s="19"/>
      <c r="T705" s="19"/>
      <c r="U705" s="19"/>
      <c r="V705" s="19"/>
      <c r="W705" s="19"/>
      <c r="X705" s="19"/>
    </row>
    <row r="706" spans="1:24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 t="str">
        <f>IFERROR(VLOOKUP($K706,Parameters!$A$5:$D$101,3,FALSE),"")</f>
        <v/>
      </c>
      <c r="R706" s="19" t="str">
        <f>IFERROR(VLOOKUP($K706,Parameters!$A$5:$D$101,4,FALSE),"")</f>
        <v/>
      </c>
      <c r="S706" s="19"/>
      <c r="T706" s="19"/>
      <c r="U706" s="19"/>
      <c r="V706" s="19"/>
      <c r="W706" s="19"/>
      <c r="X706" s="19"/>
    </row>
    <row r="707" spans="1:24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 t="str">
        <f>IFERROR(VLOOKUP($K707,Parameters!$A$5:$D$101,3,FALSE),"")</f>
        <v/>
      </c>
      <c r="R707" s="19" t="str">
        <f>IFERROR(VLOOKUP($K707,Parameters!$A$5:$D$101,4,FALSE),"")</f>
        <v/>
      </c>
      <c r="S707" s="19"/>
      <c r="T707" s="19"/>
      <c r="U707" s="19"/>
      <c r="V707" s="19"/>
      <c r="W707" s="19"/>
      <c r="X707" s="19"/>
    </row>
    <row r="708" spans="1:24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 t="str">
        <f>IFERROR(VLOOKUP($K708,Parameters!$A$5:$D$101,3,FALSE),"")</f>
        <v/>
      </c>
      <c r="R708" s="19" t="str">
        <f>IFERROR(VLOOKUP($K708,Parameters!$A$5:$D$101,4,FALSE),"")</f>
        <v/>
      </c>
      <c r="S708" s="19"/>
      <c r="T708" s="19"/>
      <c r="U708" s="19"/>
      <c r="V708" s="19"/>
      <c r="W708" s="19"/>
      <c r="X708" s="19"/>
    </row>
    <row r="709" spans="1:24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 t="str">
        <f>IFERROR(VLOOKUP($K709,Parameters!$A$5:$D$101,3,FALSE),"")</f>
        <v/>
      </c>
      <c r="R709" s="19" t="str">
        <f>IFERROR(VLOOKUP($K709,Parameters!$A$5:$D$101,4,FALSE),"")</f>
        <v/>
      </c>
      <c r="S709" s="19"/>
      <c r="T709" s="19"/>
      <c r="U709" s="19"/>
      <c r="V709" s="19"/>
      <c r="W709" s="19"/>
      <c r="X709" s="19"/>
    </row>
    <row r="710" spans="1:24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 t="str">
        <f>IFERROR(VLOOKUP($K710,Parameters!$A$5:$D$101,3,FALSE),"")</f>
        <v/>
      </c>
      <c r="R710" s="19" t="str">
        <f>IFERROR(VLOOKUP($K710,Parameters!$A$5:$D$101,4,FALSE),"")</f>
        <v/>
      </c>
      <c r="S710" s="19"/>
      <c r="T710" s="19"/>
      <c r="U710" s="19"/>
      <c r="V710" s="19"/>
      <c r="W710" s="19"/>
      <c r="X710" s="19"/>
    </row>
    <row r="711" spans="1:24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 t="str">
        <f>IFERROR(VLOOKUP($K711,Parameters!$A$5:$D$101,3,FALSE),"")</f>
        <v/>
      </c>
      <c r="R711" s="19" t="str">
        <f>IFERROR(VLOOKUP($K711,Parameters!$A$5:$D$101,4,FALSE),"")</f>
        <v/>
      </c>
      <c r="S711" s="19"/>
      <c r="T711" s="19"/>
      <c r="U711" s="19"/>
      <c r="V711" s="19"/>
      <c r="W711" s="19"/>
      <c r="X711" s="19"/>
    </row>
    <row r="712" spans="1:24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 t="str">
        <f>IFERROR(VLOOKUP($K712,Parameters!$A$5:$D$101,3,FALSE),"")</f>
        <v/>
      </c>
      <c r="R712" s="19" t="str">
        <f>IFERROR(VLOOKUP($K712,Parameters!$A$5:$D$101,4,FALSE),"")</f>
        <v/>
      </c>
      <c r="S712" s="19"/>
      <c r="T712" s="19"/>
      <c r="U712" s="19"/>
      <c r="V712" s="19"/>
      <c r="W712" s="19"/>
      <c r="X712" s="19"/>
    </row>
    <row r="713" spans="1:24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 t="str">
        <f>IFERROR(VLOOKUP($K713,Parameters!$A$5:$D$101,3,FALSE),"")</f>
        <v/>
      </c>
      <c r="R713" s="19" t="str">
        <f>IFERROR(VLOOKUP($K713,Parameters!$A$5:$D$101,4,FALSE),"")</f>
        <v/>
      </c>
      <c r="S713" s="19"/>
      <c r="T713" s="19"/>
      <c r="U713" s="19"/>
      <c r="V713" s="19"/>
      <c r="W713" s="19"/>
      <c r="X713" s="19"/>
    </row>
    <row r="714" spans="1:2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 t="str">
        <f>IFERROR(VLOOKUP($K714,Parameters!$A$5:$D$101,3,FALSE),"")</f>
        <v/>
      </c>
      <c r="R714" s="19" t="str">
        <f>IFERROR(VLOOKUP($K714,Parameters!$A$5:$D$101,4,FALSE),"")</f>
        <v/>
      </c>
      <c r="S714" s="19"/>
      <c r="T714" s="19"/>
      <c r="U714" s="19"/>
      <c r="V714" s="19"/>
      <c r="W714" s="19"/>
      <c r="X714" s="19"/>
    </row>
    <row r="715" spans="1:24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 t="str">
        <f>IFERROR(VLOOKUP($K715,Parameters!$A$5:$D$101,3,FALSE),"")</f>
        <v/>
      </c>
      <c r="R715" s="19" t="str">
        <f>IFERROR(VLOOKUP($K715,Parameters!$A$5:$D$101,4,FALSE),"")</f>
        <v/>
      </c>
      <c r="S715" s="19"/>
      <c r="T715" s="19"/>
      <c r="U715" s="19"/>
      <c r="V715" s="19"/>
      <c r="W715" s="19"/>
      <c r="X715" s="19"/>
    </row>
    <row r="716" spans="1:24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 t="str">
        <f>IFERROR(VLOOKUP($K716,Parameters!$A$5:$D$101,3,FALSE),"")</f>
        <v/>
      </c>
      <c r="R716" s="19" t="str">
        <f>IFERROR(VLOOKUP($K716,Parameters!$A$5:$D$101,4,FALSE),"")</f>
        <v/>
      </c>
      <c r="S716" s="19"/>
      <c r="T716" s="19"/>
      <c r="U716" s="19"/>
      <c r="V716" s="19"/>
      <c r="W716" s="19"/>
      <c r="X716" s="19"/>
    </row>
    <row r="717" spans="1:24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 t="str">
        <f>IFERROR(VLOOKUP($K717,Parameters!$A$5:$D$101,3,FALSE),"")</f>
        <v/>
      </c>
      <c r="R717" s="19" t="str">
        <f>IFERROR(VLOOKUP($K717,Parameters!$A$5:$D$101,4,FALSE),"")</f>
        <v/>
      </c>
      <c r="S717" s="19"/>
      <c r="T717" s="19"/>
      <c r="U717" s="19"/>
      <c r="V717" s="19"/>
      <c r="W717" s="19"/>
      <c r="X717" s="19"/>
    </row>
    <row r="718" spans="1:24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 t="str">
        <f>IFERROR(VLOOKUP($K718,Parameters!$A$5:$D$101,3,FALSE),"")</f>
        <v/>
      </c>
      <c r="R718" s="19" t="str">
        <f>IFERROR(VLOOKUP($K718,Parameters!$A$5:$D$101,4,FALSE),"")</f>
        <v/>
      </c>
      <c r="S718" s="19"/>
      <c r="T718" s="19"/>
      <c r="U718" s="19"/>
      <c r="V718" s="19"/>
      <c r="W718" s="19"/>
      <c r="X718" s="19"/>
    </row>
    <row r="719" spans="1:24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 t="str">
        <f>IFERROR(VLOOKUP($K719,Parameters!$A$5:$D$101,3,FALSE),"")</f>
        <v/>
      </c>
      <c r="R719" s="19" t="str">
        <f>IFERROR(VLOOKUP($K719,Parameters!$A$5:$D$101,4,FALSE),"")</f>
        <v/>
      </c>
      <c r="S719" s="19"/>
      <c r="T719" s="19"/>
      <c r="U719" s="19"/>
      <c r="V719" s="19"/>
      <c r="W719" s="19"/>
      <c r="X719" s="19"/>
    </row>
    <row r="720" spans="1:24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 t="str">
        <f>IFERROR(VLOOKUP($K720,Parameters!$A$5:$D$101,3,FALSE),"")</f>
        <v/>
      </c>
      <c r="R720" s="19" t="str">
        <f>IFERROR(VLOOKUP($K720,Parameters!$A$5:$D$101,4,FALSE),"")</f>
        <v/>
      </c>
      <c r="S720" s="19"/>
      <c r="T720" s="19"/>
      <c r="U720" s="19"/>
      <c r="V720" s="19"/>
      <c r="W720" s="19"/>
      <c r="X720" s="19"/>
    </row>
    <row r="721" spans="1:24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 t="str">
        <f>IFERROR(VLOOKUP($K721,Parameters!$A$5:$D$101,3,FALSE),"")</f>
        <v/>
      </c>
      <c r="R721" s="19" t="str">
        <f>IFERROR(VLOOKUP($K721,Parameters!$A$5:$D$101,4,FALSE),"")</f>
        <v/>
      </c>
      <c r="S721" s="19"/>
      <c r="T721" s="19"/>
      <c r="U721" s="19"/>
      <c r="V721" s="19"/>
      <c r="W721" s="19"/>
      <c r="X721" s="19"/>
    </row>
    <row r="722" spans="1:24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 t="str">
        <f>IFERROR(VLOOKUP($K722,Parameters!$A$5:$D$101,3,FALSE),"")</f>
        <v/>
      </c>
      <c r="R722" s="19" t="str">
        <f>IFERROR(VLOOKUP($K722,Parameters!$A$5:$D$101,4,FALSE),"")</f>
        <v/>
      </c>
      <c r="S722" s="19"/>
      <c r="T722" s="19"/>
      <c r="U722" s="19"/>
      <c r="V722" s="19"/>
      <c r="W722" s="19"/>
      <c r="X722" s="19"/>
    </row>
    <row r="723" spans="1:24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 t="str">
        <f>IFERROR(VLOOKUP($K723,Parameters!$A$5:$D$101,3,FALSE),"")</f>
        <v/>
      </c>
      <c r="R723" s="19" t="str">
        <f>IFERROR(VLOOKUP($K723,Parameters!$A$5:$D$101,4,FALSE),"")</f>
        <v/>
      </c>
      <c r="S723" s="19"/>
      <c r="T723" s="19"/>
      <c r="U723" s="19"/>
      <c r="V723" s="19"/>
      <c r="W723" s="19"/>
      <c r="X723" s="19"/>
    </row>
    <row r="724" spans="1: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 t="str">
        <f>IFERROR(VLOOKUP($K724,Parameters!$A$5:$D$101,3,FALSE),"")</f>
        <v/>
      </c>
      <c r="R724" s="19" t="str">
        <f>IFERROR(VLOOKUP($K724,Parameters!$A$5:$D$101,4,FALSE),"")</f>
        <v/>
      </c>
      <c r="S724" s="19"/>
      <c r="T724" s="19"/>
      <c r="U724" s="19"/>
      <c r="V724" s="19"/>
      <c r="W724" s="19"/>
      <c r="X724" s="19"/>
    </row>
    <row r="725" spans="1:24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 t="str">
        <f>IFERROR(VLOOKUP($K725,Parameters!$A$5:$D$101,3,FALSE),"")</f>
        <v/>
      </c>
      <c r="R725" s="19" t="str">
        <f>IFERROR(VLOOKUP($K725,Parameters!$A$5:$D$101,4,FALSE),"")</f>
        <v/>
      </c>
      <c r="S725" s="19"/>
      <c r="T725" s="19"/>
      <c r="U725" s="19"/>
      <c r="V725" s="19"/>
      <c r="W725" s="19"/>
      <c r="X725" s="19"/>
    </row>
    <row r="726" spans="1:24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 t="str">
        <f>IFERROR(VLOOKUP($K726,Parameters!$A$5:$D$101,3,FALSE),"")</f>
        <v/>
      </c>
      <c r="R726" s="19" t="str">
        <f>IFERROR(VLOOKUP($K726,Parameters!$A$5:$D$101,4,FALSE),"")</f>
        <v/>
      </c>
      <c r="S726" s="19"/>
      <c r="T726" s="19"/>
      <c r="U726" s="19"/>
      <c r="V726" s="19"/>
      <c r="W726" s="19"/>
      <c r="X726" s="19"/>
    </row>
    <row r="727" spans="1:24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 t="str">
        <f>IFERROR(VLOOKUP($K727,Parameters!$A$5:$D$101,3,FALSE),"")</f>
        <v/>
      </c>
      <c r="R727" s="19" t="str">
        <f>IFERROR(VLOOKUP($K727,Parameters!$A$5:$D$101,4,FALSE),"")</f>
        <v/>
      </c>
      <c r="S727" s="19"/>
      <c r="T727" s="19"/>
      <c r="U727" s="19"/>
      <c r="V727" s="19"/>
      <c r="W727" s="19"/>
      <c r="X727" s="19"/>
    </row>
    <row r="728" spans="1:24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 t="str">
        <f>IFERROR(VLOOKUP($K728,Parameters!$A$5:$D$101,3,FALSE),"")</f>
        <v/>
      </c>
      <c r="R728" s="19" t="str">
        <f>IFERROR(VLOOKUP($K728,Parameters!$A$5:$D$101,4,FALSE),"")</f>
        <v/>
      </c>
      <c r="S728" s="19"/>
      <c r="T728" s="19"/>
      <c r="U728" s="19"/>
      <c r="V728" s="19"/>
      <c r="W728" s="19"/>
      <c r="X728" s="19"/>
    </row>
    <row r="729" spans="1:24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 t="str">
        <f>IFERROR(VLOOKUP($K729,Parameters!$A$5:$D$101,3,FALSE),"")</f>
        <v/>
      </c>
      <c r="R729" s="19" t="str">
        <f>IFERROR(VLOOKUP($K729,Parameters!$A$5:$D$101,4,FALSE),"")</f>
        <v/>
      </c>
      <c r="S729" s="19"/>
      <c r="T729" s="19"/>
      <c r="U729" s="19"/>
      <c r="V729" s="19"/>
      <c r="W729" s="19"/>
      <c r="X729" s="19"/>
    </row>
    <row r="730" spans="1:24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 t="str">
        <f>IFERROR(VLOOKUP($K730,Parameters!$A$5:$D$101,3,FALSE),"")</f>
        <v/>
      </c>
      <c r="R730" s="19" t="str">
        <f>IFERROR(VLOOKUP($K730,Parameters!$A$5:$D$101,4,FALSE),"")</f>
        <v/>
      </c>
      <c r="S730" s="19"/>
      <c r="T730" s="19"/>
      <c r="U730" s="19"/>
      <c r="V730" s="19"/>
      <c r="W730" s="19"/>
      <c r="X730" s="19"/>
    </row>
    <row r="731" spans="1:24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 t="str">
        <f>IFERROR(VLOOKUP($K731,Parameters!$A$5:$D$101,3,FALSE),"")</f>
        <v/>
      </c>
      <c r="R731" s="19" t="str">
        <f>IFERROR(VLOOKUP($K731,Parameters!$A$5:$D$101,4,FALSE),"")</f>
        <v/>
      </c>
      <c r="S731" s="19"/>
      <c r="T731" s="19"/>
      <c r="U731" s="19"/>
      <c r="V731" s="19"/>
      <c r="W731" s="19"/>
      <c r="X731" s="19"/>
    </row>
    <row r="732" spans="1:24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 t="str">
        <f>IFERROR(VLOOKUP($K732,Parameters!$A$5:$D$101,3,FALSE),"")</f>
        <v/>
      </c>
      <c r="R732" s="19" t="str">
        <f>IFERROR(VLOOKUP($K732,Parameters!$A$5:$D$101,4,FALSE),"")</f>
        <v/>
      </c>
      <c r="S732" s="19"/>
      <c r="T732" s="19"/>
      <c r="U732" s="19"/>
      <c r="V732" s="19"/>
      <c r="W732" s="19"/>
      <c r="X732" s="19"/>
    </row>
    <row r="733" spans="1:24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 t="str">
        <f>IFERROR(VLOOKUP($K733,Parameters!$A$5:$D$101,3,FALSE),"")</f>
        <v/>
      </c>
      <c r="R733" s="19" t="str">
        <f>IFERROR(VLOOKUP($K733,Parameters!$A$5:$D$101,4,FALSE),"")</f>
        <v/>
      </c>
      <c r="S733" s="19"/>
      <c r="T733" s="19"/>
      <c r="U733" s="19"/>
      <c r="V733" s="19"/>
      <c r="W733" s="19"/>
      <c r="X733" s="19"/>
    </row>
    <row r="734" spans="1:2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 t="str">
        <f>IFERROR(VLOOKUP($K734,Parameters!$A$5:$D$101,3,FALSE),"")</f>
        <v/>
      </c>
      <c r="R734" s="19" t="str">
        <f>IFERROR(VLOOKUP($K734,Parameters!$A$5:$D$101,4,FALSE),"")</f>
        <v/>
      </c>
      <c r="S734" s="19"/>
      <c r="T734" s="19"/>
      <c r="U734" s="19"/>
      <c r="V734" s="19"/>
      <c r="W734" s="19"/>
      <c r="X734" s="19"/>
    </row>
    <row r="735" spans="1:24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 t="str">
        <f>IFERROR(VLOOKUP($K735,Parameters!$A$5:$D$101,3,FALSE),"")</f>
        <v/>
      </c>
      <c r="R735" s="19" t="str">
        <f>IFERROR(VLOOKUP($K735,Parameters!$A$5:$D$101,4,FALSE),"")</f>
        <v/>
      </c>
      <c r="S735" s="19"/>
      <c r="T735" s="19"/>
      <c r="U735" s="19"/>
      <c r="V735" s="19"/>
      <c r="W735" s="19"/>
      <c r="X735" s="19"/>
    </row>
    <row r="736" spans="1:24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 t="str">
        <f>IFERROR(VLOOKUP($K736,Parameters!$A$5:$D$101,3,FALSE),"")</f>
        <v/>
      </c>
      <c r="R736" s="19" t="str">
        <f>IFERROR(VLOOKUP($K736,Parameters!$A$5:$D$101,4,FALSE),"")</f>
        <v/>
      </c>
      <c r="S736" s="19"/>
      <c r="T736" s="19"/>
      <c r="U736" s="19"/>
      <c r="V736" s="19"/>
      <c r="W736" s="19"/>
      <c r="X736" s="19"/>
    </row>
    <row r="737" spans="1:24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 t="str">
        <f>IFERROR(VLOOKUP($K737,Parameters!$A$5:$D$101,3,FALSE),"")</f>
        <v/>
      </c>
      <c r="R737" s="19" t="str">
        <f>IFERROR(VLOOKUP($K737,Parameters!$A$5:$D$101,4,FALSE),"")</f>
        <v/>
      </c>
      <c r="S737" s="19"/>
      <c r="T737" s="19"/>
      <c r="U737" s="19"/>
      <c r="V737" s="19"/>
      <c r="W737" s="19"/>
      <c r="X737" s="19"/>
    </row>
    <row r="738" spans="1:24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 t="str">
        <f>IFERROR(VLOOKUP($K738,Parameters!$A$5:$D$101,3,FALSE),"")</f>
        <v/>
      </c>
      <c r="R738" s="19" t="str">
        <f>IFERROR(VLOOKUP($K738,Parameters!$A$5:$D$101,4,FALSE),"")</f>
        <v/>
      </c>
      <c r="S738" s="19"/>
      <c r="T738" s="19"/>
      <c r="U738" s="19"/>
      <c r="V738" s="19"/>
      <c r="W738" s="19"/>
      <c r="X738" s="19"/>
    </row>
    <row r="739" spans="1:24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 t="str">
        <f>IFERROR(VLOOKUP($K739,Parameters!$A$5:$D$101,3,FALSE),"")</f>
        <v/>
      </c>
      <c r="R739" s="19" t="str">
        <f>IFERROR(VLOOKUP($K739,Parameters!$A$5:$D$101,4,FALSE),"")</f>
        <v/>
      </c>
      <c r="S739" s="19"/>
      <c r="T739" s="19"/>
      <c r="U739" s="19"/>
      <c r="V739" s="19"/>
      <c r="W739" s="19"/>
      <c r="X739" s="19"/>
    </row>
    <row r="740" spans="1:24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 t="str">
        <f>IFERROR(VLOOKUP($K740,Parameters!$A$5:$D$101,3,FALSE),"")</f>
        <v/>
      </c>
      <c r="R740" s="19" t="str">
        <f>IFERROR(VLOOKUP($K740,Parameters!$A$5:$D$101,4,FALSE),"")</f>
        <v/>
      </c>
      <c r="S740" s="19"/>
      <c r="T740" s="19"/>
      <c r="U740" s="19"/>
      <c r="V740" s="19"/>
      <c r="W740" s="19"/>
      <c r="X740" s="19"/>
    </row>
    <row r="741" spans="1:24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 t="str">
        <f>IFERROR(VLOOKUP($K741,Parameters!$A$5:$D$101,3,FALSE),"")</f>
        <v/>
      </c>
      <c r="R741" s="19" t="str">
        <f>IFERROR(VLOOKUP($K741,Parameters!$A$5:$D$101,4,FALSE),"")</f>
        <v/>
      </c>
      <c r="S741" s="19"/>
      <c r="T741" s="19"/>
      <c r="U741" s="19"/>
      <c r="V741" s="19"/>
      <c r="W741" s="19"/>
      <c r="X741" s="19"/>
    </row>
    <row r="742" spans="1:24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 t="str">
        <f>IFERROR(VLOOKUP($K742,Parameters!$A$5:$D$101,3,FALSE),"")</f>
        <v/>
      </c>
      <c r="R742" s="19" t="str">
        <f>IFERROR(VLOOKUP($K742,Parameters!$A$5:$D$101,4,FALSE),"")</f>
        <v/>
      </c>
      <c r="S742" s="19"/>
      <c r="T742" s="19"/>
      <c r="U742" s="19"/>
      <c r="V742" s="19"/>
      <c r="W742" s="19"/>
      <c r="X742" s="19"/>
    </row>
    <row r="743" spans="1:24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 t="str">
        <f>IFERROR(VLOOKUP($K743,Parameters!$A$5:$D$101,3,FALSE),"")</f>
        <v/>
      </c>
      <c r="R743" s="19" t="str">
        <f>IFERROR(VLOOKUP($K743,Parameters!$A$5:$D$101,4,FALSE),"")</f>
        <v/>
      </c>
      <c r="S743" s="19"/>
      <c r="T743" s="19"/>
      <c r="U743" s="19"/>
      <c r="V743" s="19"/>
      <c r="W743" s="19"/>
      <c r="X743" s="19"/>
    </row>
    <row r="744" spans="1:2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 t="str">
        <f>IFERROR(VLOOKUP($K744,Parameters!$A$5:$D$101,3,FALSE),"")</f>
        <v/>
      </c>
      <c r="R744" s="19" t="str">
        <f>IFERROR(VLOOKUP($K744,Parameters!$A$5:$D$101,4,FALSE),"")</f>
        <v/>
      </c>
      <c r="S744" s="19"/>
      <c r="T744" s="19"/>
      <c r="U744" s="19"/>
      <c r="V744" s="19"/>
      <c r="W744" s="19"/>
      <c r="X744" s="19"/>
    </row>
    <row r="745" spans="1:24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 t="str">
        <f>IFERROR(VLOOKUP($K745,Parameters!$A$5:$D$101,3,FALSE),"")</f>
        <v/>
      </c>
      <c r="R745" s="19" t="str">
        <f>IFERROR(VLOOKUP($K745,Parameters!$A$5:$D$101,4,FALSE),"")</f>
        <v/>
      </c>
      <c r="S745" s="19"/>
      <c r="T745" s="19"/>
      <c r="U745" s="19"/>
      <c r="V745" s="19"/>
      <c r="W745" s="19"/>
      <c r="X745" s="19"/>
    </row>
    <row r="746" spans="1:24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 t="str">
        <f>IFERROR(VLOOKUP($K746,Parameters!$A$5:$D$101,3,FALSE),"")</f>
        <v/>
      </c>
      <c r="R746" s="19" t="str">
        <f>IFERROR(VLOOKUP($K746,Parameters!$A$5:$D$101,4,FALSE),"")</f>
        <v/>
      </c>
      <c r="S746" s="19"/>
      <c r="T746" s="19"/>
      <c r="U746" s="19"/>
      <c r="V746" s="19"/>
      <c r="W746" s="19"/>
      <c r="X746" s="19"/>
    </row>
    <row r="747" spans="1:24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 t="str">
        <f>IFERROR(VLOOKUP($K747,Parameters!$A$5:$D$101,3,FALSE),"")</f>
        <v/>
      </c>
      <c r="R747" s="19" t="str">
        <f>IFERROR(VLOOKUP($K747,Parameters!$A$5:$D$101,4,FALSE),"")</f>
        <v/>
      </c>
      <c r="S747" s="19"/>
      <c r="T747" s="19"/>
      <c r="U747" s="19"/>
      <c r="V747" s="19"/>
      <c r="W747" s="19"/>
      <c r="X747" s="19"/>
    </row>
    <row r="748" spans="1:24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 t="str">
        <f>IFERROR(VLOOKUP($K748,Parameters!$A$5:$D$101,3,FALSE),"")</f>
        <v/>
      </c>
      <c r="R748" s="19" t="str">
        <f>IFERROR(VLOOKUP($K748,Parameters!$A$5:$D$101,4,FALSE),"")</f>
        <v/>
      </c>
      <c r="S748" s="19"/>
      <c r="T748" s="19"/>
      <c r="U748" s="19"/>
      <c r="V748" s="19"/>
      <c r="W748" s="19"/>
      <c r="X748" s="19"/>
    </row>
    <row r="749" spans="1:24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 t="str">
        <f>IFERROR(VLOOKUP($K749,Parameters!$A$5:$D$101,3,FALSE),"")</f>
        <v/>
      </c>
      <c r="R749" s="19" t="str">
        <f>IFERROR(VLOOKUP($K749,Parameters!$A$5:$D$101,4,FALSE),"")</f>
        <v/>
      </c>
      <c r="S749" s="19"/>
      <c r="T749" s="19"/>
      <c r="U749" s="19"/>
      <c r="V749" s="19"/>
      <c r="W749" s="19"/>
      <c r="X749" s="19"/>
    </row>
    <row r="750" spans="1:24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 t="str">
        <f>IFERROR(VLOOKUP($K750,Parameters!$A$5:$D$101,3,FALSE),"")</f>
        <v/>
      </c>
      <c r="R750" s="19" t="str">
        <f>IFERROR(VLOOKUP($K750,Parameters!$A$5:$D$101,4,FALSE),"")</f>
        <v/>
      </c>
      <c r="S750" s="19"/>
      <c r="T750" s="19"/>
      <c r="U750" s="19"/>
      <c r="V750" s="19"/>
      <c r="W750" s="19"/>
      <c r="X750" s="19"/>
    </row>
    <row r="751" spans="1:24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 t="str">
        <f>IFERROR(VLOOKUP($K751,Parameters!$A$5:$D$101,3,FALSE),"")</f>
        <v/>
      </c>
      <c r="R751" s="19" t="str">
        <f>IFERROR(VLOOKUP($K751,Parameters!$A$5:$D$101,4,FALSE),"")</f>
        <v/>
      </c>
      <c r="S751" s="19"/>
      <c r="T751" s="19"/>
      <c r="U751" s="19"/>
      <c r="V751" s="19"/>
      <c r="W751" s="19"/>
      <c r="X751" s="19"/>
    </row>
    <row r="752" spans="1:24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 t="str">
        <f>IFERROR(VLOOKUP($K752,Parameters!$A$5:$D$101,3,FALSE),"")</f>
        <v/>
      </c>
      <c r="R752" s="19" t="str">
        <f>IFERROR(VLOOKUP($K752,Parameters!$A$5:$D$101,4,FALSE),"")</f>
        <v/>
      </c>
      <c r="S752" s="19"/>
      <c r="T752" s="19"/>
      <c r="U752" s="19"/>
      <c r="V752" s="19"/>
      <c r="W752" s="19"/>
      <c r="X752" s="19"/>
    </row>
    <row r="753" spans="1:24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 t="str">
        <f>IFERROR(VLOOKUP($K753,Parameters!$A$5:$D$101,3,FALSE),"")</f>
        <v/>
      </c>
      <c r="R753" s="19" t="str">
        <f>IFERROR(VLOOKUP($K753,Parameters!$A$5:$D$101,4,FALSE),"")</f>
        <v/>
      </c>
      <c r="S753" s="19"/>
      <c r="T753" s="19"/>
      <c r="U753" s="19"/>
      <c r="V753" s="19"/>
      <c r="W753" s="19"/>
      <c r="X753" s="19"/>
    </row>
    <row r="754" spans="1:2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 t="str">
        <f>IFERROR(VLOOKUP($K754,Parameters!$A$5:$D$101,3,FALSE),"")</f>
        <v/>
      </c>
      <c r="R754" s="19" t="str">
        <f>IFERROR(VLOOKUP($K754,Parameters!$A$5:$D$101,4,FALSE),"")</f>
        <v/>
      </c>
      <c r="S754" s="19"/>
      <c r="T754" s="19"/>
      <c r="U754" s="19"/>
      <c r="V754" s="19"/>
      <c r="W754" s="19"/>
      <c r="X754" s="19"/>
    </row>
    <row r="755" spans="1:24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 t="str">
        <f>IFERROR(VLOOKUP($K755,Parameters!$A$5:$D$101,3,FALSE),"")</f>
        <v/>
      </c>
      <c r="R755" s="19" t="str">
        <f>IFERROR(VLOOKUP($K755,Parameters!$A$5:$D$101,4,FALSE),"")</f>
        <v/>
      </c>
      <c r="S755" s="19"/>
      <c r="T755" s="19"/>
      <c r="U755" s="19"/>
      <c r="V755" s="19"/>
      <c r="W755" s="19"/>
      <c r="X755" s="19"/>
    </row>
    <row r="756" spans="1:24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 t="str">
        <f>IFERROR(VLOOKUP($K756,Parameters!$A$5:$D$101,3,FALSE),"")</f>
        <v/>
      </c>
      <c r="R756" s="19" t="str">
        <f>IFERROR(VLOOKUP($K756,Parameters!$A$5:$D$101,4,FALSE),"")</f>
        <v/>
      </c>
      <c r="S756" s="19"/>
      <c r="T756" s="19"/>
      <c r="U756" s="19"/>
      <c r="V756" s="19"/>
      <c r="W756" s="19"/>
      <c r="X756" s="19"/>
    </row>
    <row r="757" spans="1:24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 t="str">
        <f>IFERROR(VLOOKUP($K757,Parameters!$A$5:$D$101,3,FALSE),"")</f>
        <v/>
      </c>
      <c r="R757" s="19" t="str">
        <f>IFERROR(VLOOKUP($K757,Parameters!$A$5:$D$101,4,FALSE),"")</f>
        <v/>
      </c>
      <c r="S757" s="19"/>
      <c r="T757" s="19"/>
      <c r="U757" s="19"/>
      <c r="V757" s="19"/>
      <c r="W757" s="19"/>
      <c r="X757" s="19"/>
    </row>
    <row r="758" spans="1:24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 t="str">
        <f>IFERROR(VLOOKUP($K758,Parameters!$A$5:$D$101,3,FALSE),"")</f>
        <v/>
      </c>
      <c r="R758" s="19" t="str">
        <f>IFERROR(VLOOKUP($K758,Parameters!$A$5:$D$101,4,FALSE),"")</f>
        <v/>
      </c>
      <c r="S758" s="19"/>
      <c r="T758" s="19"/>
      <c r="U758" s="19"/>
      <c r="V758" s="19"/>
      <c r="W758" s="19"/>
      <c r="X758" s="19"/>
    </row>
    <row r="759" spans="1:24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 t="str">
        <f>IFERROR(VLOOKUP($K759,Parameters!$A$5:$D$101,3,FALSE),"")</f>
        <v/>
      </c>
      <c r="R759" s="19" t="str">
        <f>IFERROR(VLOOKUP($K759,Parameters!$A$5:$D$101,4,FALSE),"")</f>
        <v/>
      </c>
      <c r="S759" s="19"/>
      <c r="T759" s="19"/>
      <c r="U759" s="19"/>
      <c r="V759" s="19"/>
      <c r="W759" s="19"/>
      <c r="X759" s="19"/>
    </row>
    <row r="760" spans="1:24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 t="str">
        <f>IFERROR(VLOOKUP($K760,Parameters!$A$5:$D$101,3,FALSE),"")</f>
        <v/>
      </c>
      <c r="R760" s="19" t="str">
        <f>IFERROR(VLOOKUP($K760,Parameters!$A$5:$D$101,4,FALSE),"")</f>
        <v/>
      </c>
      <c r="S760" s="19"/>
      <c r="T760" s="19"/>
      <c r="U760" s="19"/>
      <c r="V760" s="19"/>
      <c r="W760" s="19"/>
      <c r="X760" s="19"/>
    </row>
    <row r="761" spans="1:24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 t="str">
        <f>IFERROR(VLOOKUP($K761,Parameters!$A$5:$D$101,3,FALSE),"")</f>
        <v/>
      </c>
      <c r="R761" s="19" t="str">
        <f>IFERROR(VLOOKUP($K761,Parameters!$A$5:$D$101,4,FALSE),"")</f>
        <v/>
      </c>
      <c r="S761" s="19"/>
      <c r="T761" s="19"/>
      <c r="U761" s="19"/>
      <c r="V761" s="19"/>
      <c r="W761" s="19"/>
      <c r="X761" s="19"/>
    </row>
    <row r="762" spans="1:24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 t="str">
        <f>IFERROR(VLOOKUP($K762,Parameters!$A$5:$D$101,3,FALSE),"")</f>
        <v/>
      </c>
      <c r="R762" s="19" t="str">
        <f>IFERROR(VLOOKUP($K762,Parameters!$A$5:$D$101,4,FALSE),"")</f>
        <v/>
      </c>
      <c r="S762" s="19"/>
      <c r="T762" s="19"/>
      <c r="U762" s="19"/>
      <c r="V762" s="19"/>
      <c r="W762" s="19"/>
      <c r="X762" s="19"/>
    </row>
    <row r="763" spans="1:24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 t="str">
        <f>IFERROR(VLOOKUP($K763,Parameters!$A$5:$D$101,3,FALSE),"")</f>
        <v/>
      </c>
      <c r="R763" s="19" t="str">
        <f>IFERROR(VLOOKUP($K763,Parameters!$A$5:$D$101,4,FALSE),"")</f>
        <v/>
      </c>
      <c r="S763" s="19"/>
      <c r="T763" s="19"/>
      <c r="U763" s="19"/>
      <c r="V763" s="19"/>
      <c r="W763" s="19"/>
      <c r="X763" s="19"/>
    </row>
    <row r="764" spans="1:2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 t="str">
        <f>IFERROR(VLOOKUP($K764,Parameters!$A$5:$D$101,3,FALSE),"")</f>
        <v/>
      </c>
      <c r="R764" s="19" t="str">
        <f>IFERROR(VLOOKUP($K764,Parameters!$A$5:$D$101,4,FALSE),"")</f>
        <v/>
      </c>
      <c r="S764" s="19"/>
      <c r="T764" s="19"/>
      <c r="U764" s="19"/>
      <c r="V764" s="19"/>
      <c r="W764" s="19"/>
      <c r="X764" s="19"/>
    </row>
    <row r="765" spans="1:24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 t="str">
        <f>IFERROR(VLOOKUP($K765,Parameters!$A$5:$D$101,3,FALSE),"")</f>
        <v/>
      </c>
      <c r="R765" s="19" t="str">
        <f>IFERROR(VLOOKUP($K765,Parameters!$A$5:$D$101,4,FALSE),"")</f>
        <v/>
      </c>
      <c r="S765" s="19"/>
      <c r="T765" s="19"/>
      <c r="U765" s="19"/>
      <c r="V765" s="19"/>
      <c r="W765" s="19"/>
      <c r="X765" s="19"/>
    </row>
    <row r="766" spans="1:24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 t="str">
        <f>IFERROR(VLOOKUP($K766,Parameters!$A$5:$D$101,3,FALSE),"")</f>
        <v/>
      </c>
      <c r="R766" s="19" t="str">
        <f>IFERROR(VLOOKUP($K766,Parameters!$A$5:$D$101,4,FALSE),"")</f>
        <v/>
      </c>
      <c r="S766" s="19"/>
      <c r="T766" s="19"/>
      <c r="U766" s="19"/>
      <c r="V766" s="19"/>
      <c r="W766" s="19"/>
      <c r="X766" s="19"/>
    </row>
    <row r="767" spans="1:24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 t="str">
        <f>IFERROR(VLOOKUP($K767,Parameters!$A$5:$D$101,3,FALSE),"")</f>
        <v/>
      </c>
      <c r="R767" s="19" t="str">
        <f>IFERROR(VLOOKUP($K767,Parameters!$A$5:$D$101,4,FALSE),"")</f>
        <v/>
      </c>
      <c r="S767" s="19"/>
      <c r="T767" s="19"/>
      <c r="U767" s="19"/>
      <c r="V767" s="19"/>
      <c r="W767" s="19"/>
      <c r="X767" s="19"/>
    </row>
    <row r="768" spans="1:24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 t="str">
        <f>IFERROR(VLOOKUP($K768,Parameters!$A$5:$D$101,3,FALSE),"")</f>
        <v/>
      </c>
      <c r="R768" s="19" t="str">
        <f>IFERROR(VLOOKUP($K768,Parameters!$A$5:$D$101,4,FALSE),"")</f>
        <v/>
      </c>
      <c r="S768" s="19"/>
      <c r="T768" s="19"/>
      <c r="U768" s="19"/>
      <c r="V768" s="19"/>
      <c r="W768" s="19"/>
      <c r="X768" s="19"/>
    </row>
    <row r="769" spans="1:24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 t="str">
        <f>IFERROR(VLOOKUP($K769,Parameters!$A$5:$D$101,3,FALSE),"")</f>
        <v/>
      </c>
      <c r="R769" s="19" t="str">
        <f>IFERROR(VLOOKUP($K769,Parameters!$A$5:$D$101,4,FALSE),"")</f>
        <v/>
      </c>
      <c r="S769" s="19"/>
      <c r="T769" s="19"/>
      <c r="U769" s="19"/>
      <c r="V769" s="19"/>
      <c r="W769" s="19"/>
      <c r="X769" s="19"/>
    </row>
    <row r="770" spans="1:24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 t="str">
        <f>IFERROR(VLOOKUP($K770,Parameters!$A$5:$D$101,3,FALSE),"")</f>
        <v/>
      </c>
      <c r="R770" s="19" t="str">
        <f>IFERROR(VLOOKUP($K770,Parameters!$A$5:$D$101,4,FALSE),"")</f>
        <v/>
      </c>
      <c r="S770" s="19"/>
      <c r="T770" s="19"/>
      <c r="U770" s="19"/>
      <c r="V770" s="19"/>
      <c r="W770" s="19"/>
      <c r="X770" s="19"/>
    </row>
    <row r="771" spans="1:24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 t="str">
        <f>IFERROR(VLOOKUP($K771,Parameters!$A$5:$D$101,3,FALSE),"")</f>
        <v/>
      </c>
      <c r="R771" s="19" t="str">
        <f>IFERROR(VLOOKUP($K771,Parameters!$A$5:$D$101,4,FALSE),"")</f>
        <v/>
      </c>
      <c r="S771" s="19"/>
      <c r="T771" s="19"/>
      <c r="U771" s="19"/>
      <c r="V771" s="19"/>
      <c r="W771" s="19"/>
      <c r="X771" s="19"/>
    </row>
    <row r="772" spans="1:24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 t="str">
        <f>IFERROR(VLOOKUP($K772,Parameters!$A$5:$D$101,3,FALSE),"")</f>
        <v/>
      </c>
      <c r="R772" s="19" t="str">
        <f>IFERROR(VLOOKUP($K772,Parameters!$A$5:$D$101,4,FALSE),"")</f>
        <v/>
      </c>
      <c r="S772" s="19"/>
      <c r="T772" s="19"/>
      <c r="U772" s="19"/>
      <c r="V772" s="19"/>
      <c r="W772" s="19"/>
      <c r="X772" s="19"/>
    </row>
    <row r="773" spans="1:24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 t="str">
        <f>IFERROR(VLOOKUP($K773,Parameters!$A$5:$D$101,3,FALSE),"")</f>
        <v/>
      </c>
      <c r="R773" s="19" t="str">
        <f>IFERROR(VLOOKUP($K773,Parameters!$A$5:$D$101,4,FALSE),"")</f>
        <v/>
      </c>
      <c r="S773" s="19"/>
      <c r="T773" s="19"/>
      <c r="U773" s="19"/>
      <c r="V773" s="19"/>
      <c r="W773" s="19"/>
      <c r="X773" s="19"/>
    </row>
    <row r="774" spans="1:2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 t="str">
        <f>IFERROR(VLOOKUP($K774,Parameters!$A$5:$D$101,3,FALSE),"")</f>
        <v/>
      </c>
      <c r="R774" s="19" t="str">
        <f>IFERROR(VLOOKUP($K774,Parameters!$A$5:$D$101,4,FALSE),"")</f>
        <v/>
      </c>
      <c r="S774" s="19"/>
      <c r="T774" s="19"/>
      <c r="U774" s="19"/>
      <c r="V774" s="19"/>
      <c r="W774" s="19"/>
      <c r="X774" s="19"/>
    </row>
    <row r="775" spans="1:24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 t="str">
        <f>IFERROR(VLOOKUP($K775,Parameters!$A$5:$D$101,3,FALSE),"")</f>
        <v/>
      </c>
      <c r="R775" s="19" t="str">
        <f>IFERROR(VLOOKUP($K775,Parameters!$A$5:$D$101,4,FALSE),"")</f>
        <v/>
      </c>
      <c r="S775" s="19"/>
      <c r="T775" s="19"/>
      <c r="U775" s="19"/>
      <c r="V775" s="19"/>
      <c r="W775" s="19"/>
      <c r="X775" s="19"/>
    </row>
    <row r="776" spans="1:24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 t="str">
        <f>IFERROR(VLOOKUP($K776,Parameters!$A$5:$D$101,3,FALSE),"")</f>
        <v/>
      </c>
      <c r="R776" s="19" t="str">
        <f>IFERROR(VLOOKUP($K776,Parameters!$A$5:$D$101,4,FALSE),"")</f>
        <v/>
      </c>
      <c r="S776" s="19"/>
      <c r="T776" s="19"/>
      <c r="U776" s="19"/>
      <c r="V776" s="19"/>
      <c r="W776" s="19"/>
      <c r="X776" s="19"/>
    </row>
    <row r="777" spans="1:24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 t="str">
        <f>IFERROR(VLOOKUP($K777,Parameters!$A$5:$D$101,3,FALSE),"")</f>
        <v/>
      </c>
      <c r="R777" s="19" t="str">
        <f>IFERROR(VLOOKUP($K777,Parameters!$A$5:$D$101,4,FALSE),"")</f>
        <v/>
      </c>
      <c r="S777" s="19"/>
      <c r="T777" s="19"/>
      <c r="U777" s="19"/>
      <c r="V777" s="19"/>
      <c r="W777" s="19"/>
      <c r="X777" s="19"/>
    </row>
    <row r="778" spans="1:24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 t="str">
        <f>IFERROR(VLOOKUP($K778,Parameters!$A$5:$D$101,3,FALSE),"")</f>
        <v/>
      </c>
      <c r="R778" s="19" t="str">
        <f>IFERROR(VLOOKUP($K778,Parameters!$A$5:$D$101,4,FALSE),"")</f>
        <v/>
      </c>
      <c r="S778" s="19"/>
      <c r="T778" s="19"/>
      <c r="U778" s="19"/>
      <c r="V778" s="19"/>
      <c r="W778" s="19"/>
      <c r="X778" s="19"/>
    </row>
    <row r="779" spans="1:24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 t="str">
        <f>IFERROR(VLOOKUP($K779,Parameters!$A$5:$D$101,3,FALSE),"")</f>
        <v/>
      </c>
      <c r="R779" s="19" t="str">
        <f>IFERROR(VLOOKUP($K779,Parameters!$A$5:$D$101,4,FALSE),"")</f>
        <v/>
      </c>
      <c r="S779" s="19"/>
      <c r="T779" s="19"/>
      <c r="U779" s="19"/>
      <c r="V779" s="19"/>
      <c r="W779" s="19"/>
      <c r="X779" s="19"/>
    </row>
    <row r="780" spans="1:24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 t="str">
        <f>IFERROR(VLOOKUP($K780,Parameters!$A$5:$D$101,3,FALSE),"")</f>
        <v/>
      </c>
      <c r="R780" s="19" t="str">
        <f>IFERROR(VLOOKUP($K780,Parameters!$A$5:$D$101,4,FALSE),"")</f>
        <v/>
      </c>
      <c r="S780" s="19"/>
      <c r="T780" s="19"/>
      <c r="U780" s="19"/>
      <c r="V780" s="19"/>
      <c r="W780" s="19"/>
      <c r="X780" s="19"/>
    </row>
    <row r="781" spans="1:24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 t="str">
        <f>IFERROR(VLOOKUP($K781,Parameters!$A$5:$D$101,3,FALSE),"")</f>
        <v/>
      </c>
      <c r="R781" s="19" t="str">
        <f>IFERROR(VLOOKUP($K781,Parameters!$A$5:$D$101,4,FALSE),"")</f>
        <v/>
      </c>
      <c r="S781" s="19"/>
      <c r="T781" s="19"/>
      <c r="U781" s="19"/>
      <c r="V781" s="19"/>
      <c r="W781" s="19"/>
      <c r="X781" s="19"/>
    </row>
    <row r="782" spans="1:24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 t="str">
        <f>IFERROR(VLOOKUP($K782,Parameters!$A$5:$D$101,3,FALSE),"")</f>
        <v/>
      </c>
      <c r="R782" s="19" t="str">
        <f>IFERROR(VLOOKUP($K782,Parameters!$A$5:$D$101,4,FALSE),"")</f>
        <v/>
      </c>
      <c r="S782" s="19"/>
      <c r="T782" s="19"/>
      <c r="U782" s="19"/>
      <c r="V782" s="19"/>
      <c r="W782" s="19"/>
      <c r="X782" s="19"/>
    </row>
    <row r="783" spans="1:24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 t="str">
        <f>IFERROR(VLOOKUP($K783,Parameters!$A$5:$D$101,3,FALSE),"")</f>
        <v/>
      </c>
      <c r="R783" s="19" t="str">
        <f>IFERROR(VLOOKUP($K783,Parameters!$A$5:$D$101,4,FALSE),"")</f>
        <v/>
      </c>
      <c r="S783" s="19"/>
      <c r="T783" s="19"/>
      <c r="U783" s="19"/>
      <c r="V783" s="19"/>
      <c r="W783" s="19"/>
      <c r="X783" s="19"/>
    </row>
    <row r="784" spans="1:2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 t="str">
        <f>IFERROR(VLOOKUP($K784,Parameters!$A$5:$D$101,3,FALSE),"")</f>
        <v/>
      </c>
      <c r="R784" s="19" t="str">
        <f>IFERROR(VLOOKUP($K784,Parameters!$A$5:$D$101,4,FALSE),"")</f>
        <v/>
      </c>
      <c r="S784" s="19"/>
      <c r="T784" s="19"/>
      <c r="U784" s="19"/>
      <c r="V784" s="19"/>
      <c r="W784" s="19"/>
      <c r="X784" s="19"/>
    </row>
    <row r="785" spans="1:24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 t="str">
        <f>IFERROR(VLOOKUP($K785,Parameters!$A$5:$D$101,3,FALSE),"")</f>
        <v/>
      </c>
      <c r="R785" s="19" t="str">
        <f>IFERROR(VLOOKUP($K785,Parameters!$A$5:$D$101,4,FALSE),"")</f>
        <v/>
      </c>
      <c r="S785" s="19"/>
      <c r="T785" s="19"/>
      <c r="U785" s="19"/>
      <c r="V785" s="19"/>
      <c r="W785" s="19"/>
      <c r="X785" s="19"/>
    </row>
    <row r="786" spans="1:24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 t="str">
        <f>IFERROR(VLOOKUP($K786,Parameters!$A$5:$D$101,3,FALSE),"")</f>
        <v/>
      </c>
      <c r="R786" s="19" t="str">
        <f>IFERROR(VLOOKUP($K786,Parameters!$A$5:$D$101,4,FALSE),"")</f>
        <v/>
      </c>
      <c r="S786" s="19"/>
      <c r="T786" s="19"/>
      <c r="U786" s="19"/>
      <c r="V786" s="19"/>
      <c r="W786" s="19"/>
      <c r="X786" s="19"/>
    </row>
    <row r="787" spans="1:24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 t="str">
        <f>IFERROR(VLOOKUP($K787,Parameters!$A$5:$D$101,3,FALSE),"")</f>
        <v/>
      </c>
      <c r="R787" s="19" t="str">
        <f>IFERROR(VLOOKUP($K787,Parameters!$A$5:$D$101,4,FALSE),"")</f>
        <v/>
      </c>
      <c r="S787" s="19"/>
      <c r="T787" s="19"/>
      <c r="U787" s="19"/>
      <c r="V787" s="19"/>
      <c r="W787" s="19"/>
      <c r="X787" s="19"/>
    </row>
    <row r="788" spans="1:24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 t="str">
        <f>IFERROR(VLOOKUP($K788,Parameters!$A$5:$D$101,3,FALSE),"")</f>
        <v/>
      </c>
      <c r="R788" s="19" t="str">
        <f>IFERROR(VLOOKUP($K788,Parameters!$A$5:$D$101,4,FALSE),"")</f>
        <v/>
      </c>
      <c r="S788" s="19"/>
      <c r="T788" s="19"/>
      <c r="U788" s="19"/>
      <c r="V788" s="19"/>
      <c r="W788" s="19"/>
      <c r="X788" s="19"/>
    </row>
    <row r="789" spans="1:24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 t="str">
        <f>IFERROR(VLOOKUP($K789,Parameters!$A$5:$D$101,3,FALSE),"")</f>
        <v/>
      </c>
      <c r="R789" s="19" t="str">
        <f>IFERROR(VLOOKUP($K789,Parameters!$A$5:$D$101,4,FALSE),"")</f>
        <v/>
      </c>
      <c r="S789" s="19"/>
      <c r="T789" s="19"/>
      <c r="U789" s="19"/>
      <c r="V789" s="19"/>
      <c r="W789" s="19"/>
      <c r="X789" s="19"/>
    </row>
    <row r="790" spans="1:24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 t="str">
        <f>IFERROR(VLOOKUP($K790,Parameters!$A$5:$D$101,3,FALSE),"")</f>
        <v/>
      </c>
      <c r="R790" s="19" t="str">
        <f>IFERROR(VLOOKUP($K790,Parameters!$A$5:$D$101,4,FALSE),"")</f>
        <v/>
      </c>
      <c r="S790" s="19"/>
      <c r="T790" s="19"/>
      <c r="U790" s="19"/>
      <c r="V790" s="19"/>
      <c r="W790" s="19"/>
      <c r="X790" s="19"/>
    </row>
    <row r="791" spans="1:24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 t="str">
        <f>IFERROR(VLOOKUP($K791,Parameters!$A$5:$D$101,3,FALSE),"")</f>
        <v/>
      </c>
      <c r="R791" s="19" t="str">
        <f>IFERROR(VLOOKUP($K791,Parameters!$A$5:$D$101,4,FALSE),"")</f>
        <v/>
      </c>
      <c r="S791" s="19"/>
      <c r="T791" s="19"/>
      <c r="U791" s="19"/>
      <c r="V791" s="19"/>
      <c r="W791" s="19"/>
      <c r="X791" s="19"/>
    </row>
    <row r="792" spans="1:24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 t="str">
        <f>IFERROR(VLOOKUP($K792,Parameters!$A$5:$D$101,3,FALSE),"")</f>
        <v/>
      </c>
      <c r="R792" s="19" t="str">
        <f>IFERROR(VLOOKUP($K792,Parameters!$A$5:$D$101,4,FALSE),"")</f>
        <v/>
      </c>
      <c r="S792" s="19"/>
      <c r="T792" s="19"/>
      <c r="U792" s="19"/>
      <c r="V792" s="19"/>
      <c r="W792" s="19"/>
      <c r="X792" s="19"/>
    </row>
    <row r="793" spans="1:24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 t="str">
        <f>IFERROR(VLOOKUP($K793,Parameters!$A$5:$D$101,3,FALSE),"")</f>
        <v/>
      </c>
      <c r="R793" s="19" t="str">
        <f>IFERROR(VLOOKUP($K793,Parameters!$A$5:$D$101,4,FALSE),"")</f>
        <v/>
      </c>
      <c r="S793" s="19"/>
      <c r="T793" s="19"/>
      <c r="U793" s="19"/>
      <c r="V793" s="19"/>
      <c r="W793" s="19"/>
      <c r="X793" s="19"/>
    </row>
    <row r="794" spans="1:2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 t="str">
        <f>IFERROR(VLOOKUP($K794,Parameters!$A$5:$D$101,3,FALSE),"")</f>
        <v/>
      </c>
      <c r="R794" s="19" t="str">
        <f>IFERROR(VLOOKUP($K794,Parameters!$A$5:$D$101,4,FALSE),"")</f>
        <v/>
      </c>
      <c r="S794" s="19"/>
      <c r="T794" s="19"/>
      <c r="U794" s="19"/>
      <c r="V794" s="19"/>
      <c r="W794" s="19"/>
      <c r="X794" s="19"/>
    </row>
    <row r="795" spans="1:24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 t="str">
        <f>IFERROR(VLOOKUP($K795,Parameters!$A$5:$D$101,3,FALSE),"")</f>
        <v/>
      </c>
      <c r="R795" s="19" t="str">
        <f>IFERROR(VLOOKUP($K795,Parameters!$A$5:$D$101,4,FALSE),"")</f>
        <v/>
      </c>
      <c r="S795" s="19"/>
      <c r="T795" s="19"/>
      <c r="U795" s="19"/>
      <c r="V795" s="19"/>
      <c r="W795" s="19"/>
      <c r="X795" s="19"/>
    </row>
    <row r="796" spans="1:24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 t="str">
        <f>IFERROR(VLOOKUP($K796,Parameters!$A$5:$D$101,3,FALSE),"")</f>
        <v/>
      </c>
      <c r="R796" s="19" t="str">
        <f>IFERROR(VLOOKUP($K796,Parameters!$A$5:$D$101,4,FALSE),"")</f>
        <v/>
      </c>
      <c r="S796" s="19"/>
      <c r="T796" s="19"/>
      <c r="U796" s="19"/>
      <c r="V796" s="19"/>
      <c r="W796" s="19"/>
      <c r="X796" s="19"/>
    </row>
    <row r="797" spans="1:24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 t="str">
        <f>IFERROR(VLOOKUP($K797,Parameters!$A$5:$D$101,3,FALSE),"")</f>
        <v/>
      </c>
      <c r="R797" s="19" t="str">
        <f>IFERROR(VLOOKUP($K797,Parameters!$A$5:$D$101,4,FALSE),"")</f>
        <v/>
      </c>
      <c r="S797" s="19"/>
      <c r="T797" s="19"/>
      <c r="U797" s="19"/>
      <c r="V797" s="19"/>
      <c r="W797" s="19"/>
      <c r="X797" s="19"/>
    </row>
    <row r="798" spans="1:24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 t="str">
        <f>IFERROR(VLOOKUP($K798,Parameters!$A$5:$D$101,3,FALSE),"")</f>
        <v/>
      </c>
      <c r="R798" s="19" t="str">
        <f>IFERROR(VLOOKUP($K798,Parameters!$A$5:$D$101,4,FALSE),"")</f>
        <v/>
      </c>
      <c r="S798" s="19"/>
      <c r="T798" s="19"/>
      <c r="U798" s="19"/>
      <c r="V798" s="19"/>
      <c r="W798" s="19"/>
      <c r="X798" s="19"/>
    </row>
    <row r="799" spans="1:24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 t="str">
        <f>IFERROR(VLOOKUP($K799,Parameters!$A$5:$D$101,3,FALSE),"")</f>
        <v/>
      </c>
      <c r="R799" s="19" t="str">
        <f>IFERROR(VLOOKUP($K799,Parameters!$A$5:$D$101,4,FALSE),"")</f>
        <v/>
      </c>
      <c r="S799" s="19"/>
      <c r="T799" s="19"/>
      <c r="U799" s="19"/>
      <c r="V799" s="19"/>
      <c r="W799" s="19"/>
      <c r="X799" s="19"/>
    </row>
    <row r="800" spans="1:24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 t="str">
        <f>IFERROR(VLOOKUP($K800,Parameters!$A$5:$D$101,3,FALSE),"")</f>
        <v/>
      </c>
      <c r="R800" s="19" t="str">
        <f>IFERROR(VLOOKUP($K800,Parameters!$A$5:$D$101,4,FALSE),"")</f>
        <v/>
      </c>
      <c r="S800" s="19"/>
      <c r="T800" s="19"/>
      <c r="U800" s="19"/>
      <c r="V800" s="19"/>
      <c r="W800" s="19"/>
      <c r="X800" s="19"/>
    </row>
    <row r="801" spans="1:24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 t="str">
        <f>IFERROR(VLOOKUP($K801,Parameters!$A$5:$D$101,3,FALSE),"")</f>
        <v/>
      </c>
      <c r="R801" s="19" t="str">
        <f>IFERROR(VLOOKUP($K801,Parameters!$A$5:$D$101,4,FALSE),"")</f>
        <v/>
      </c>
      <c r="S801" s="19"/>
      <c r="T801" s="19"/>
      <c r="U801" s="19"/>
      <c r="V801" s="19"/>
      <c r="W801" s="19"/>
      <c r="X801" s="19"/>
    </row>
    <row r="802" spans="1:24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 t="str">
        <f>IFERROR(VLOOKUP($K802,Parameters!$A$5:$D$101,3,FALSE),"")</f>
        <v/>
      </c>
      <c r="R802" s="19" t="str">
        <f>IFERROR(VLOOKUP($K802,Parameters!$A$5:$D$101,4,FALSE),"")</f>
        <v/>
      </c>
      <c r="S802" s="19"/>
      <c r="T802" s="19"/>
      <c r="U802" s="19"/>
      <c r="V802" s="19"/>
      <c r="W802" s="19"/>
      <c r="X802" s="19"/>
    </row>
    <row r="803" spans="1:24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 t="str">
        <f>IFERROR(VLOOKUP($K803,Parameters!$A$5:$D$101,3,FALSE),"")</f>
        <v/>
      </c>
      <c r="R803" s="19" t="str">
        <f>IFERROR(VLOOKUP($K803,Parameters!$A$5:$D$101,4,FALSE),"")</f>
        <v/>
      </c>
      <c r="S803" s="19"/>
      <c r="T803" s="19"/>
      <c r="U803" s="19"/>
      <c r="V803" s="19"/>
      <c r="W803" s="19"/>
      <c r="X803" s="19"/>
    </row>
    <row r="804" spans="1:2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 t="str">
        <f>IFERROR(VLOOKUP($K804,Parameters!$A$5:$D$101,3,FALSE),"")</f>
        <v/>
      </c>
      <c r="R804" s="19" t="str">
        <f>IFERROR(VLOOKUP($K804,Parameters!$A$5:$D$101,4,FALSE),"")</f>
        <v/>
      </c>
      <c r="S804" s="19"/>
      <c r="T804" s="19"/>
      <c r="U804" s="19"/>
      <c r="V804" s="19"/>
      <c r="W804" s="19"/>
      <c r="X804" s="19"/>
    </row>
    <row r="805" spans="1:24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 t="str">
        <f>IFERROR(VLOOKUP($K805,Parameters!$A$5:$D$101,3,FALSE),"")</f>
        <v/>
      </c>
      <c r="R805" s="19" t="str">
        <f>IFERROR(VLOOKUP($K805,Parameters!$A$5:$D$101,4,FALSE),"")</f>
        <v/>
      </c>
      <c r="S805" s="19"/>
      <c r="T805" s="19"/>
      <c r="U805" s="19"/>
      <c r="V805" s="19"/>
      <c r="W805" s="19"/>
      <c r="X805" s="19"/>
    </row>
    <row r="806" spans="1:24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 t="str">
        <f>IFERROR(VLOOKUP($K806,Parameters!$A$5:$D$101,3,FALSE),"")</f>
        <v/>
      </c>
      <c r="R806" s="19" t="str">
        <f>IFERROR(VLOOKUP($K806,Parameters!$A$5:$D$101,4,FALSE),"")</f>
        <v/>
      </c>
      <c r="S806" s="19"/>
      <c r="T806" s="19"/>
      <c r="U806" s="19"/>
      <c r="V806" s="19"/>
      <c r="W806" s="19"/>
      <c r="X806" s="19"/>
    </row>
    <row r="807" spans="1:24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 t="str">
        <f>IFERROR(VLOOKUP($K807,Parameters!$A$5:$D$101,3,FALSE),"")</f>
        <v/>
      </c>
      <c r="R807" s="19" t="str">
        <f>IFERROR(VLOOKUP($K807,Parameters!$A$5:$D$101,4,FALSE),"")</f>
        <v/>
      </c>
      <c r="S807" s="19"/>
      <c r="T807" s="19"/>
      <c r="U807" s="19"/>
      <c r="V807" s="19"/>
      <c r="W807" s="19"/>
      <c r="X807" s="19"/>
    </row>
    <row r="808" spans="1:24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 t="str">
        <f>IFERROR(VLOOKUP($K808,Parameters!$A$5:$D$101,3,FALSE),"")</f>
        <v/>
      </c>
      <c r="R808" s="19" t="str">
        <f>IFERROR(VLOOKUP($K808,Parameters!$A$5:$D$101,4,FALSE),"")</f>
        <v/>
      </c>
      <c r="S808" s="19"/>
      <c r="T808" s="19"/>
      <c r="U808" s="19"/>
      <c r="V808" s="19"/>
      <c r="W808" s="19"/>
      <c r="X808" s="19"/>
    </row>
    <row r="809" spans="1:24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 t="str">
        <f>IFERROR(VLOOKUP($K809,Parameters!$A$5:$D$101,3,FALSE),"")</f>
        <v/>
      </c>
      <c r="R809" s="19" t="str">
        <f>IFERROR(VLOOKUP($K809,Parameters!$A$5:$D$101,4,FALSE),"")</f>
        <v/>
      </c>
      <c r="S809" s="19"/>
      <c r="T809" s="19"/>
      <c r="U809" s="19"/>
      <c r="V809" s="19"/>
      <c r="W809" s="19"/>
      <c r="X809" s="19"/>
    </row>
    <row r="810" spans="1:24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 t="str">
        <f>IFERROR(VLOOKUP($K810,Parameters!$A$5:$D$101,3,FALSE),"")</f>
        <v/>
      </c>
      <c r="R810" s="19" t="str">
        <f>IFERROR(VLOOKUP($K810,Parameters!$A$5:$D$101,4,FALSE),"")</f>
        <v/>
      </c>
      <c r="S810" s="19"/>
      <c r="T810" s="19"/>
      <c r="U810" s="19"/>
      <c r="V810" s="19"/>
      <c r="W810" s="19"/>
      <c r="X810" s="19"/>
    </row>
    <row r="811" spans="1:24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 t="str">
        <f>IFERROR(VLOOKUP($K811,Parameters!$A$5:$D$101,3,FALSE),"")</f>
        <v/>
      </c>
      <c r="R811" s="19" t="str">
        <f>IFERROR(VLOOKUP($K811,Parameters!$A$5:$D$101,4,FALSE),"")</f>
        <v/>
      </c>
      <c r="S811" s="19"/>
      <c r="T811" s="19"/>
      <c r="U811" s="19"/>
      <c r="V811" s="19"/>
      <c r="W811" s="19"/>
      <c r="X811" s="19"/>
    </row>
    <row r="812" spans="1:24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 t="str">
        <f>IFERROR(VLOOKUP($K812,Parameters!$A$5:$D$101,3,FALSE),"")</f>
        <v/>
      </c>
      <c r="R812" s="19" t="str">
        <f>IFERROR(VLOOKUP($K812,Parameters!$A$5:$D$101,4,FALSE),"")</f>
        <v/>
      </c>
      <c r="S812" s="19"/>
      <c r="T812" s="19"/>
      <c r="U812" s="19"/>
      <c r="V812" s="19"/>
      <c r="W812" s="19"/>
      <c r="X812" s="19"/>
    </row>
    <row r="813" spans="1:24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 t="str">
        <f>IFERROR(VLOOKUP($K813,Parameters!$A$5:$D$101,3,FALSE),"")</f>
        <v/>
      </c>
      <c r="R813" s="19" t="str">
        <f>IFERROR(VLOOKUP($K813,Parameters!$A$5:$D$101,4,FALSE),"")</f>
        <v/>
      </c>
      <c r="S813" s="19"/>
      <c r="T813" s="19"/>
      <c r="U813" s="19"/>
      <c r="V813" s="19"/>
      <c r="W813" s="19"/>
      <c r="X813" s="19"/>
    </row>
    <row r="814" spans="1:2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 t="str">
        <f>IFERROR(VLOOKUP($K814,Parameters!$A$5:$D$101,3,FALSE),"")</f>
        <v/>
      </c>
      <c r="R814" s="19" t="str">
        <f>IFERROR(VLOOKUP($K814,Parameters!$A$5:$D$101,4,FALSE),"")</f>
        <v/>
      </c>
      <c r="S814" s="19"/>
      <c r="T814" s="19"/>
      <c r="U814" s="19"/>
      <c r="V814" s="19"/>
      <c r="W814" s="19"/>
      <c r="X814" s="19"/>
    </row>
    <row r="815" spans="1:24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 t="str">
        <f>IFERROR(VLOOKUP($K815,Parameters!$A$5:$D$101,3,FALSE),"")</f>
        <v/>
      </c>
      <c r="R815" s="19" t="str">
        <f>IFERROR(VLOOKUP($K815,Parameters!$A$5:$D$101,4,FALSE),"")</f>
        <v/>
      </c>
      <c r="S815" s="19"/>
      <c r="T815" s="19"/>
      <c r="U815" s="19"/>
      <c r="V815" s="19"/>
      <c r="W815" s="19"/>
      <c r="X815" s="19"/>
    </row>
    <row r="816" spans="1:24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 t="str">
        <f>IFERROR(VLOOKUP($K816,Parameters!$A$5:$D$101,3,FALSE),"")</f>
        <v/>
      </c>
      <c r="R816" s="19" t="str">
        <f>IFERROR(VLOOKUP($K816,Parameters!$A$5:$D$101,4,FALSE),"")</f>
        <v/>
      </c>
      <c r="S816" s="19"/>
      <c r="T816" s="19"/>
      <c r="U816" s="19"/>
      <c r="V816" s="19"/>
      <c r="W816" s="19"/>
      <c r="X816" s="19"/>
    </row>
    <row r="817" spans="1:24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 t="str">
        <f>IFERROR(VLOOKUP($K817,Parameters!$A$5:$D$101,3,FALSE),"")</f>
        <v/>
      </c>
      <c r="R817" s="19" t="str">
        <f>IFERROR(VLOOKUP($K817,Parameters!$A$5:$D$101,4,FALSE),"")</f>
        <v/>
      </c>
      <c r="S817" s="19"/>
      <c r="T817" s="19"/>
      <c r="U817" s="19"/>
      <c r="V817" s="19"/>
      <c r="W817" s="19"/>
      <c r="X817" s="19"/>
    </row>
    <row r="818" spans="1:24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 t="str">
        <f>IFERROR(VLOOKUP($K818,Parameters!$A$5:$D$101,3,FALSE),"")</f>
        <v/>
      </c>
      <c r="R818" s="19" t="str">
        <f>IFERROR(VLOOKUP($K818,Parameters!$A$5:$D$101,4,FALSE),"")</f>
        <v/>
      </c>
      <c r="S818" s="19"/>
      <c r="T818" s="19"/>
      <c r="U818" s="19"/>
      <c r="V818" s="19"/>
      <c r="W818" s="19"/>
      <c r="X818" s="19"/>
    </row>
    <row r="819" spans="1:24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 t="str">
        <f>IFERROR(VLOOKUP($K819,Parameters!$A$5:$D$101,3,FALSE),"")</f>
        <v/>
      </c>
      <c r="R819" s="19" t="str">
        <f>IFERROR(VLOOKUP($K819,Parameters!$A$5:$D$101,4,FALSE),"")</f>
        <v/>
      </c>
      <c r="S819" s="19"/>
      <c r="T819" s="19"/>
      <c r="U819" s="19"/>
      <c r="V819" s="19"/>
      <c r="W819" s="19"/>
      <c r="X819" s="19"/>
    </row>
    <row r="820" spans="1:24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 t="str">
        <f>IFERROR(VLOOKUP($K820,Parameters!$A$5:$D$101,3,FALSE),"")</f>
        <v/>
      </c>
      <c r="R820" s="19" t="str">
        <f>IFERROR(VLOOKUP($K820,Parameters!$A$5:$D$101,4,FALSE),"")</f>
        <v/>
      </c>
      <c r="S820" s="19"/>
      <c r="T820" s="19"/>
      <c r="U820" s="19"/>
      <c r="V820" s="19"/>
      <c r="W820" s="19"/>
      <c r="X820" s="19"/>
    </row>
    <row r="821" spans="1:24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 t="str">
        <f>IFERROR(VLOOKUP($K821,Parameters!$A$5:$D$101,3,FALSE),"")</f>
        <v/>
      </c>
      <c r="R821" s="19" t="str">
        <f>IFERROR(VLOOKUP($K821,Parameters!$A$5:$D$101,4,FALSE),"")</f>
        <v/>
      </c>
      <c r="S821" s="19"/>
      <c r="T821" s="19"/>
      <c r="U821" s="19"/>
      <c r="V821" s="19"/>
      <c r="W821" s="19"/>
      <c r="X821" s="19"/>
    </row>
    <row r="822" spans="1:24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 t="str">
        <f>IFERROR(VLOOKUP($K822,Parameters!$A$5:$D$101,3,FALSE),"")</f>
        <v/>
      </c>
      <c r="R822" s="19" t="str">
        <f>IFERROR(VLOOKUP($K822,Parameters!$A$5:$D$101,4,FALSE),"")</f>
        <v/>
      </c>
      <c r="S822" s="19"/>
      <c r="T822" s="19"/>
      <c r="U822" s="19"/>
      <c r="V822" s="19"/>
      <c r="W822" s="19"/>
      <c r="X822" s="19"/>
    </row>
    <row r="823" spans="1:24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 t="str">
        <f>IFERROR(VLOOKUP($K823,Parameters!$A$5:$D$101,3,FALSE),"")</f>
        <v/>
      </c>
      <c r="R823" s="19" t="str">
        <f>IFERROR(VLOOKUP($K823,Parameters!$A$5:$D$101,4,FALSE),"")</f>
        <v/>
      </c>
      <c r="S823" s="19"/>
      <c r="T823" s="19"/>
      <c r="U823" s="19"/>
      <c r="V823" s="19"/>
      <c r="W823" s="19"/>
      <c r="X823" s="19"/>
    </row>
    <row r="824" spans="1: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 t="str">
        <f>IFERROR(VLOOKUP($K824,Parameters!$A$5:$D$101,3,FALSE),"")</f>
        <v/>
      </c>
      <c r="R824" s="19" t="str">
        <f>IFERROR(VLOOKUP($K824,Parameters!$A$5:$D$101,4,FALSE),"")</f>
        <v/>
      </c>
      <c r="S824" s="19"/>
      <c r="T824" s="19"/>
      <c r="U824" s="19"/>
      <c r="V824" s="19"/>
      <c r="W824" s="19"/>
      <c r="X824" s="19"/>
    </row>
    <row r="825" spans="1:24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 t="str">
        <f>IFERROR(VLOOKUP($K825,Parameters!$A$5:$D$101,3,FALSE),"")</f>
        <v/>
      </c>
      <c r="R825" s="19" t="str">
        <f>IFERROR(VLOOKUP($K825,Parameters!$A$5:$D$101,4,FALSE),"")</f>
        <v/>
      </c>
      <c r="S825" s="19"/>
      <c r="T825" s="19"/>
      <c r="U825" s="19"/>
      <c r="V825" s="19"/>
      <c r="W825" s="19"/>
      <c r="X825" s="19"/>
    </row>
    <row r="826" spans="1:24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 t="str">
        <f>IFERROR(VLOOKUP($K826,Parameters!$A$5:$D$101,3,FALSE),"")</f>
        <v/>
      </c>
      <c r="R826" s="19" t="str">
        <f>IFERROR(VLOOKUP($K826,Parameters!$A$5:$D$101,4,FALSE),"")</f>
        <v/>
      </c>
      <c r="S826" s="19"/>
      <c r="T826" s="19"/>
      <c r="U826" s="19"/>
      <c r="V826" s="19"/>
      <c r="W826" s="19"/>
      <c r="X826" s="19"/>
    </row>
    <row r="827" spans="1:24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 t="str">
        <f>IFERROR(VLOOKUP($K827,Parameters!$A$5:$D$101,3,FALSE),"")</f>
        <v/>
      </c>
      <c r="R827" s="19" t="str">
        <f>IFERROR(VLOOKUP($K827,Parameters!$A$5:$D$101,4,FALSE),"")</f>
        <v/>
      </c>
      <c r="S827" s="19"/>
      <c r="T827" s="19"/>
      <c r="U827" s="19"/>
      <c r="V827" s="19"/>
      <c r="W827" s="19"/>
      <c r="X827" s="19"/>
    </row>
    <row r="828" spans="1:24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 t="str">
        <f>IFERROR(VLOOKUP($K828,Parameters!$A$5:$D$101,3,FALSE),"")</f>
        <v/>
      </c>
      <c r="R828" s="19" t="str">
        <f>IFERROR(VLOOKUP($K828,Parameters!$A$5:$D$101,4,FALSE),"")</f>
        <v/>
      </c>
      <c r="S828" s="19"/>
      <c r="T828" s="19"/>
      <c r="U828" s="19"/>
      <c r="V828" s="19"/>
      <c r="W828" s="19"/>
      <c r="X828" s="19"/>
    </row>
    <row r="829" spans="1:24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 t="str">
        <f>IFERROR(VLOOKUP($K829,Parameters!$A$5:$D$101,3,FALSE),"")</f>
        <v/>
      </c>
      <c r="R829" s="19" t="str">
        <f>IFERROR(VLOOKUP($K829,Parameters!$A$5:$D$101,4,FALSE),"")</f>
        <v/>
      </c>
      <c r="S829" s="19"/>
      <c r="T829" s="19"/>
      <c r="U829" s="19"/>
      <c r="V829" s="19"/>
      <c r="W829" s="19"/>
      <c r="X829" s="19"/>
    </row>
    <row r="830" spans="1:24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 t="str">
        <f>IFERROR(VLOOKUP($K830,Parameters!$A$5:$D$101,3,FALSE),"")</f>
        <v/>
      </c>
      <c r="R830" s="19" t="str">
        <f>IFERROR(VLOOKUP($K830,Parameters!$A$5:$D$101,4,FALSE),"")</f>
        <v/>
      </c>
      <c r="S830" s="19"/>
      <c r="T830" s="19"/>
      <c r="U830" s="19"/>
      <c r="V830" s="19"/>
      <c r="W830" s="19"/>
      <c r="X830" s="19"/>
    </row>
    <row r="831" spans="1:24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 t="str">
        <f>IFERROR(VLOOKUP($K831,Parameters!$A$5:$D$101,3,FALSE),"")</f>
        <v/>
      </c>
      <c r="R831" s="19" t="str">
        <f>IFERROR(VLOOKUP($K831,Parameters!$A$5:$D$101,4,FALSE),"")</f>
        <v/>
      </c>
      <c r="S831" s="19"/>
      <c r="T831" s="19"/>
      <c r="U831" s="19"/>
      <c r="V831" s="19"/>
      <c r="W831" s="19"/>
      <c r="X831" s="19"/>
    </row>
    <row r="832" spans="1:24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 t="str">
        <f>IFERROR(VLOOKUP($K832,Parameters!$A$5:$D$101,3,FALSE),"")</f>
        <v/>
      </c>
      <c r="R832" s="19" t="str">
        <f>IFERROR(VLOOKUP($K832,Parameters!$A$5:$D$101,4,FALSE),"")</f>
        <v/>
      </c>
      <c r="S832" s="19"/>
      <c r="T832" s="19"/>
      <c r="U832" s="19"/>
      <c r="V832" s="19"/>
      <c r="W832" s="19"/>
      <c r="X832" s="19"/>
    </row>
    <row r="833" spans="1:24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 t="str">
        <f>IFERROR(VLOOKUP($K833,Parameters!$A$5:$D$101,3,FALSE),"")</f>
        <v/>
      </c>
      <c r="R833" s="19" t="str">
        <f>IFERROR(VLOOKUP($K833,Parameters!$A$5:$D$101,4,FALSE),"")</f>
        <v/>
      </c>
      <c r="S833" s="19"/>
      <c r="T833" s="19"/>
      <c r="U833" s="19"/>
      <c r="V833" s="19"/>
      <c r="W833" s="19"/>
      <c r="X833" s="19"/>
    </row>
    <row r="834" spans="1:2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 t="str">
        <f>IFERROR(VLOOKUP($K834,Parameters!$A$5:$D$101,3,FALSE),"")</f>
        <v/>
      </c>
      <c r="R834" s="19" t="str">
        <f>IFERROR(VLOOKUP($K834,Parameters!$A$5:$D$101,4,FALSE),"")</f>
        <v/>
      </c>
      <c r="S834" s="19"/>
      <c r="T834" s="19"/>
      <c r="U834" s="19"/>
      <c r="V834" s="19"/>
      <c r="W834" s="19"/>
      <c r="X834" s="19"/>
    </row>
    <row r="835" spans="1:24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 t="str">
        <f>IFERROR(VLOOKUP($K835,Parameters!$A$5:$D$101,3,FALSE),"")</f>
        <v/>
      </c>
      <c r="R835" s="19" t="str">
        <f>IFERROR(VLOOKUP($K835,Parameters!$A$5:$D$101,4,FALSE),"")</f>
        <v/>
      </c>
      <c r="S835" s="19"/>
      <c r="T835" s="19"/>
      <c r="U835" s="19"/>
      <c r="V835" s="19"/>
      <c r="W835" s="19"/>
      <c r="X835" s="19"/>
    </row>
    <row r="836" spans="1:24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 t="str">
        <f>IFERROR(VLOOKUP($K836,Parameters!$A$5:$D$101,3,FALSE),"")</f>
        <v/>
      </c>
      <c r="R836" s="19" t="str">
        <f>IFERROR(VLOOKUP($K836,Parameters!$A$5:$D$101,4,FALSE),"")</f>
        <v/>
      </c>
      <c r="S836" s="19"/>
      <c r="T836" s="19"/>
      <c r="U836" s="19"/>
      <c r="V836" s="19"/>
      <c r="W836" s="19"/>
      <c r="X836" s="19"/>
    </row>
    <row r="837" spans="1:24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 t="str">
        <f>IFERROR(VLOOKUP($K837,Parameters!$A$5:$D$101,3,FALSE),"")</f>
        <v/>
      </c>
      <c r="R837" s="19" t="str">
        <f>IFERROR(VLOOKUP($K837,Parameters!$A$5:$D$101,4,FALSE),"")</f>
        <v/>
      </c>
      <c r="S837" s="19"/>
      <c r="T837" s="19"/>
      <c r="U837" s="19"/>
      <c r="V837" s="19"/>
      <c r="W837" s="19"/>
      <c r="X837" s="19"/>
    </row>
    <row r="838" spans="1:24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 t="str">
        <f>IFERROR(VLOOKUP($K838,Parameters!$A$5:$D$101,3,FALSE),"")</f>
        <v/>
      </c>
      <c r="R838" s="19" t="str">
        <f>IFERROR(VLOOKUP($K838,Parameters!$A$5:$D$101,4,FALSE),"")</f>
        <v/>
      </c>
      <c r="S838" s="19"/>
      <c r="T838" s="19"/>
      <c r="U838" s="19"/>
      <c r="V838" s="19"/>
      <c r="W838" s="19"/>
      <c r="X838" s="19"/>
    </row>
    <row r="839" spans="1:24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 t="str">
        <f>IFERROR(VLOOKUP($K839,Parameters!$A$5:$D$101,3,FALSE),"")</f>
        <v/>
      </c>
      <c r="R839" s="19" t="str">
        <f>IFERROR(VLOOKUP($K839,Parameters!$A$5:$D$101,4,FALSE),"")</f>
        <v/>
      </c>
      <c r="S839" s="19"/>
      <c r="T839" s="19"/>
      <c r="U839" s="19"/>
      <c r="V839" s="19"/>
      <c r="W839" s="19"/>
      <c r="X839" s="19"/>
    </row>
    <row r="840" spans="1:24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 t="str">
        <f>IFERROR(VLOOKUP($K840,Parameters!$A$5:$D$101,3,FALSE),"")</f>
        <v/>
      </c>
      <c r="R840" s="19" t="str">
        <f>IFERROR(VLOOKUP($K840,Parameters!$A$5:$D$101,4,FALSE),"")</f>
        <v/>
      </c>
      <c r="S840" s="19"/>
      <c r="T840" s="19"/>
      <c r="U840" s="19"/>
      <c r="V840" s="19"/>
      <c r="W840" s="19"/>
      <c r="X840" s="19"/>
    </row>
    <row r="841" spans="1:24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 t="str">
        <f>IFERROR(VLOOKUP($K841,Parameters!$A$5:$D$101,3,FALSE),"")</f>
        <v/>
      </c>
      <c r="R841" s="19" t="str">
        <f>IFERROR(VLOOKUP($K841,Parameters!$A$5:$D$101,4,FALSE),"")</f>
        <v/>
      </c>
      <c r="S841" s="19"/>
      <c r="T841" s="19"/>
      <c r="U841" s="19"/>
      <c r="V841" s="19"/>
      <c r="W841" s="19"/>
      <c r="X841" s="19"/>
    </row>
    <row r="842" spans="1:24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 t="str">
        <f>IFERROR(VLOOKUP($K842,Parameters!$A$5:$D$101,3,FALSE),"")</f>
        <v/>
      </c>
      <c r="R842" s="19" t="str">
        <f>IFERROR(VLOOKUP($K842,Parameters!$A$5:$D$101,4,FALSE),"")</f>
        <v/>
      </c>
      <c r="S842" s="19"/>
      <c r="T842" s="19"/>
      <c r="U842" s="19"/>
      <c r="V842" s="19"/>
      <c r="W842" s="19"/>
      <c r="X842" s="19"/>
    </row>
    <row r="843" spans="1:24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 t="str">
        <f>IFERROR(VLOOKUP($K843,Parameters!$A$5:$D$101,3,FALSE),"")</f>
        <v/>
      </c>
      <c r="R843" s="19" t="str">
        <f>IFERROR(VLOOKUP($K843,Parameters!$A$5:$D$101,4,FALSE),"")</f>
        <v/>
      </c>
      <c r="S843" s="19"/>
      <c r="T843" s="19"/>
      <c r="U843" s="19"/>
      <c r="V843" s="19"/>
      <c r="W843" s="19"/>
      <c r="X843" s="19"/>
    </row>
    <row r="844" spans="1:2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 t="str">
        <f>IFERROR(VLOOKUP($K844,Parameters!$A$5:$D$101,3,FALSE),"")</f>
        <v/>
      </c>
      <c r="R844" s="19" t="str">
        <f>IFERROR(VLOOKUP($K844,Parameters!$A$5:$D$101,4,FALSE),"")</f>
        <v/>
      </c>
      <c r="S844" s="19"/>
      <c r="T844" s="19"/>
      <c r="U844" s="19"/>
      <c r="V844" s="19"/>
      <c r="W844" s="19"/>
      <c r="X844" s="19"/>
    </row>
    <row r="845" spans="1:24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 t="str">
        <f>IFERROR(VLOOKUP($K845,Parameters!$A$5:$D$101,3,FALSE),"")</f>
        <v/>
      </c>
      <c r="R845" s="19" t="str">
        <f>IFERROR(VLOOKUP($K845,Parameters!$A$5:$D$101,4,FALSE),"")</f>
        <v/>
      </c>
      <c r="S845" s="19"/>
      <c r="T845" s="19"/>
      <c r="U845" s="19"/>
      <c r="V845" s="19"/>
      <c r="W845" s="19"/>
      <c r="X845" s="19"/>
    </row>
    <row r="846" spans="1:24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 t="str">
        <f>IFERROR(VLOOKUP($K846,Parameters!$A$5:$D$101,3,FALSE),"")</f>
        <v/>
      </c>
      <c r="R846" s="19" t="str">
        <f>IFERROR(VLOOKUP($K846,Parameters!$A$5:$D$101,4,FALSE),"")</f>
        <v/>
      </c>
      <c r="S846" s="19"/>
      <c r="T846" s="19"/>
      <c r="U846" s="19"/>
      <c r="V846" s="19"/>
      <c r="W846" s="19"/>
      <c r="X846" s="19"/>
    </row>
    <row r="847" spans="1:24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 t="str">
        <f>IFERROR(VLOOKUP($K847,Parameters!$A$5:$D$101,3,FALSE),"")</f>
        <v/>
      </c>
      <c r="R847" s="19" t="str">
        <f>IFERROR(VLOOKUP($K847,Parameters!$A$5:$D$101,4,FALSE),"")</f>
        <v/>
      </c>
      <c r="S847" s="19"/>
      <c r="T847" s="19"/>
      <c r="U847" s="19"/>
      <c r="V847" s="19"/>
      <c r="W847" s="19"/>
      <c r="X847" s="19"/>
    </row>
    <row r="848" spans="1:24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 t="str">
        <f>IFERROR(VLOOKUP($K848,Parameters!$A$5:$D$101,3,FALSE),"")</f>
        <v/>
      </c>
      <c r="R848" s="19" t="str">
        <f>IFERROR(VLOOKUP($K848,Parameters!$A$5:$D$101,4,FALSE),"")</f>
        <v/>
      </c>
      <c r="S848" s="19"/>
      <c r="T848" s="19"/>
      <c r="U848" s="19"/>
      <c r="V848" s="19"/>
      <c r="W848" s="19"/>
      <c r="X848" s="19"/>
    </row>
    <row r="849" spans="1:24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 t="str">
        <f>IFERROR(VLOOKUP($K849,Parameters!$A$5:$D$101,3,FALSE),"")</f>
        <v/>
      </c>
      <c r="R849" s="19" t="str">
        <f>IFERROR(VLOOKUP($K849,Parameters!$A$5:$D$101,4,FALSE),"")</f>
        <v/>
      </c>
      <c r="S849" s="19"/>
      <c r="T849" s="19"/>
      <c r="U849" s="19"/>
      <c r="V849" s="19"/>
      <c r="W849" s="19"/>
      <c r="X849" s="19"/>
    </row>
    <row r="850" spans="1:24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 t="str">
        <f>IFERROR(VLOOKUP($K850,Parameters!$A$5:$D$101,3,FALSE),"")</f>
        <v/>
      </c>
      <c r="R850" s="19" t="str">
        <f>IFERROR(VLOOKUP($K850,Parameters!$A$5:$D$101,4,FALSE),"")</f>
        <v/>
      </c>
      <c r="S850" s="19"/>
      <c r="T850" s="19"/>
      <c r="U850" s="19"/>
      <c r="V850" s="19"/>
      <c r="W850" s="19"/>
      <c r="X850" s="19"/>
    </row>
    <row r="851" spans="1:24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 t="str">
        <f>IFERROR(VLOOKUP($K851,Parameters!$A$5:$D$101,3,FALSE),"")</f>
        <v/>
      </c>
      <c r="R851" s="19" t="str">
        <f>IFERROR(VLOOKUP($K851,Parameters!$A$5:$D$101,4,FALSE),"")</f>
        <v/>
      </c>
      <c r="S851" s="19"/>
      <c r="T851" s="19"/>
      <c r="U851" s="19"/>
      <c r="V851" s="19"/>
      <c r="W851" s="19"/>
      <c r="X851" s="19"/>
    </row>
    <row r="852" spans="1:24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 t="str">
        <f>IFERROR(VLOOKUP($K852,Parameters!$A$5:$D$101,3,FALSE),"")</f>
        <v/>
      </c>
      <c r="R852" s="19" t="str">
        <f>IFERROR(VLOOKUP($K852,Parameters!$A$5:$D$101,4,FALSE),"")</f>
        <v/>
      </c>
      <c r="S852" s="19"/>
      <c r="T852" s="19"/>
      <c r="U852" s="19"/>
      <c r="V852" s="19"/>
      <c r="W852" s="19"/>
      <c r="X852" s="19"/>
    </row>
    <row r="853" spans="1:24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 t="str">
        <f>IFERROR(VLOOKUP($K853,Parameters!$A$5:$D$101,3,FALSE),"")</f>
        <v/>
      </c>
      <c r="R853" s="19" t="str">
        <f>IFERROR(VLOOKUP($K853,Parameters!$A$5:$D$101,4,FALSE),"")</f>
        <v/>
      </c>
      <c r="S853" s="19"/>
      <c r="T853" s="19"/>
      <c r="U853" s="19"/>
      <c r="V853" s="19"/>
      <c r="W853" s="19"/>
      <c r="X853" s="19"/>
    </row>
    <row r="854" spans="1:2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 t="str">
        <f>IFERROR(VLOOKUP($K854,Parameters!$A$5:$D$101,3,FALSE),"")</f>
        <v/>
      </c>
      <c r="R854" s="19" t="str">
        <f>IFERROR(VLOOKUP($K854,Parameters!$A$5:$D$101,4,FALSE),"")</f>
        <v/>
      </c>
      <c r="S854" s="19"/>
      <c r="T854" s="19"/>
      <c r="U854" s="19"/>
      <c r="V854" s="19"/>
      <c r="W854" s="19"/>
      <c r="X854" s="19"/>
    </row>
    <row r="855" spans="1:24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 t="str">
        <f>IFERROR(VLOOKUP($K855,Parameters!$A$5:$D$101,3,FALSE),"")</f>
        <v/>
      </c>
      <c r="R855" s="19" t="str">
        <f>IFERROR(VLOOKUP($K855,Parameters!$A$5:$D$101,4,FALSE),"")</f>
        <v/>
      </c>
      <c r="S855" s="19"/>
      <c r="T855" s="19"/>
      <c r="U855" s="19"/>
      <c r="V855" s="19"/>
      <c r="W855" s="19"/>
      <c r="X855" s="19"/>
    </row>
    <row r="856" spans="1:24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 t="str">
        <f>IFERROR(VLOOKUP($K856,Parameters!$A$5:$D$101,3,FALSE),"")</f>
        <v/>
      </c>
      <c r="R856" s="19" t="str">
        <f>IFERROR(VLOOKUP($K856,Parameters!$A$5:$D$101,4,FALSE),"")</f>
        <v/>
      </c>
      <c r="S856" s="19"/>
      <c r="T856" s="19"/>
      <c r="U856" s="19"/>
      <c r="V856" s="19"/>
      <c r="W856" s="19"/>
      <c r="X856" s="19"/>
    </row>
    <row r="857" spans="1:24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 t="str">
        <f>IFERROR(VLOOKUP($K857,Parameters!$A$5:$D$101,3,FALSE),"")</f>
        <v/>
      </c>
      <c r="R857" s="19" t="str">
        <f>IFERROR(VLOOKUP($K857,Parameters!$A$5:$D$101,4,FALSE),"")</f>
        <v/>
      </c>
      <c r="S857" s="19"/>
      <c r="T857" s="19"/>
      <c r="U857" s="19"/>
      <c r="V857" s="19"/>
      <c r="W857" s="19"/>
      <c r="X857" s="19"/>
    </row>
    <row r="858" spans="1:24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 t="str">
        <f>IFERROR(VLOOKUP($K858,Parameters!$A$5:$D$101,3,FALSE),"")</f>
        <v/>
      </c>
      <c r="R858" s="19" t="str">
        <f>IFERROR(VLOOKUP($K858,Parameters!$A$5:$D$101,4,FALSE),"")</f>
        <v/>
      </c>
      <c r="S858" s="19"/>
      <c r="T858" s="19"/>
      <c r="U858" s="19"/>
      <c r="V858" s="19"/>
      <c r="W858" s="19"/>
      <c r="X858" s="19"/>
    </row>
    <row r="859" spans="1:24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 t="str">
        <f>IFERROR(VLOOKUP($K859,Parameters!$A$5:$D$101,3,FALSE),"")</f>
        <v/>
      </c>
      <c r="R859" s="19" t="str">
        <f>IFERROR(VLOOKUP($K859,Parameters!$A$5:$D$101,4,FALSE),"")</f>
        <v/>
      </c>
      <c r="S859" s="19"/>
      <c r="T859" s="19"/>
      <c r="U859" s="19"/>
      <c r="V859" s="19"/>
      <c r="W859" s="19"/>
      <c r="X859" s="19"/>
    </row>
    <row r="860" spans="1:24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 t="str">
        <f>IFERROR(VLOOKUP($K860,Parameters!$A$5:$D$101,3,FALSE),"")</f>
        <v/>
      </c>
      <c r="R860" s="19" t="str">
        <f>IFERROR(VLOOKUP($K860,Parameters!$A$5:$D$101,4,FALSE),"")</f>
        <v/>
      </c>
      <c r="S860" s="19"/>
      <c r="T860" s="19"/>
      <c r="U860" s="19"/>
      <c r="V860" s="19"/>
      <c r="W860" s="19"/>
      <c r="X860" s="19"/>
    </row>
    <row r="861" spans="1:24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 t="str">
        <f>IFERROR(VLOOKUP($K861,Parameters!$A$5:$D$101,3,FALSE),"")</f>
        <v/>
      </c>
      <c r="R861" s="19" t="str">
        <f>IFERROR(VLOOKUP($K861,Parameters!$A$5:$D$101,4,FALSE),"")</f>
        <v/>
      </c>
      <c r="S861" s="19"/>
      <c r="T861" s="19"/>
      <c r="U861" s="19"/>
      <c r="V861" s="19"/>
      <c r="W861" s="19"/>
      <c r="X861" s="19"/>
    </row>
    <row r="862" spans="1:24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 t="str">
        <f>IFERROR(VLOOKUP($K862,Parameters!$A$5:$D$101,3,FALSE),"")</f>
        <v/>
      </c>
      <c r="R862" s="19" t="str">
        <f>IFERROR(VLOOKUP($K862,Parameters!$A$5:$D$101,4,FALSE),"")</f>
        <v/>
      </c>
      <c r="S862" s="19"/>
      <c r="T862" s="19"/>
      <c r="U862" s="19"/>
      <c r="V862" s="19"/>
      <c r="W862" s="19"/>
      <c r="X862" s="19"/>
    </row>
    <row r="863" spans="1:24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 t="str">
        <f>IFERROR(VLOOKUP($K863,Parameters!$A$5:$D$101,3,FALSE),"")</f>
        <v/>
      </c>
      <c r="R863" s="19" t="str">
        <f>IFERROR(VLOOKUP($K863,Parameters!$A$5:$D$101,4,FALSE),"")</f>
        <v/>
      </c>
      <c r="S863" s="19"/>
      <c r="T863" s="19"/>
      <c r="U863" s="19"/>
      <c r="V863" s="19"/>
      <c r="W863" s="19"/>
      <c r="X863" s="19"/>
    </row>
    <row r="864" spans="1:2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 t="str">
        <f>IFERROR(VLOOKUP($K864,Parameters!$A$5:$D$101,3,FALSE),"")</f>
        <v/>
      </c>
      <c r="R864" s="19" t="str">
        <f>IFERROR(VLOOKUP($K864,Parameters!$A$5:$D$101,4,FALSE),"")</f>
        <v/>
      </c>
      <c r="S864" s="19"/>
      <c r="T864" s="19"/>
      <c r="U864" s="19"/>
      <c r="V864" s="19"/>
      <c r="W864" s="19"/>
      <c r="X864" s="19"/>
    </row>
    <row r="865" spans="1:24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 t="str">
        <f>IFERROR(VLOOKUP($K865,Parameters!$A$5:$D$101,3,FALSE),"")</f>
        <v/>
      </c>
      <c r="R865" s="19" t="str">
        <f>IFERROR(VLOOKUP($K865,Parameters!$A$5:$D$101,4,FALSE),"")</f>
        <v/>
      </c>
      <c r="S865" s="19"/>
      <c r="T865" s="19"/>
      <c r="U865" s="19"/>
      <c r="V865" s="19"/>
      <c r="W865" s="19"/>
      <c r="X865" s="19"/>
    </row>
    <row r="866" spans="1:24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 t="str">
        <f>IFERROR(VLOOKUP($K866,Parameters!$A$5:$D$101,3,FALSE),"")</f>
        <v/>
      </c>
      <c r="R866" s="19" t="str">
        <f>IFERROR(VLOOKUP($K866,Parameters!$A$5:$D$101,4,FALSE),"")</f>
        <v/>
      </c>
      <c r="S866" s="19"/>
      <c r="T866" s="19"/>
      <c r="U866" s="19"/>
      <c r="V866" s="19"/>
      <c r="W866" s="19"/>
      <c r="X866" s="19"/>
    </row>
    <row r="867" spans="1:24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 t="str">
        <f>IFERROR(VLOOKUP($K867,Parameters!$A$5:$D$101,3,FALSE),"")</f>
        <v/>
      </c>
      <c r="R867" s="19" t="str">
        <f>IFERROR(VLOOKUP($K867,Parameters!$A$5:$D$101,4,FALSE),"")</f>
        <v/>
      </c>
      <c r="S867" s="19"/>
      <c r="T867" s="19"/>
      <c r="U867" s="19"/>
      <c r="V867" s="19"/>
      <c r="W867" s="19"/>
      <c r="X867" s="19"/>
    </row>
    <row r="868" spans="1:24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 t="str">
        <f>IFERROR(VLOOKUP($K868,Parameters!$A$5:$D$101,3,FALSE),"")</f>
        <v/>
      </c>
      <c r="R868" s="19" t="str">
        <f>IFERROR(VLOOKUP($K868,Parameters!$A$5:$D$101,4,FALSE),"")</f>
        <v/>
      </c>
      <c r="S868" s="19"/>
      <c r="T868" s="19"/>
      <c r="U868" s="19"/>
      <c r="V868" s="19"/>
      <c r="W868" s="19"/>
      <c r="X868" s="19"/>
    </row>
    <row r="869" spans="1:24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 t="str">
        <f>IFERROR(VLOOKUP($K869,Parameters!$A$5:$D$101,3,FALSE),"")</f>
        <v/>
      </c>
      <c r="R869" s="19" t="str">
        <f>IFERROR(VLOOKUP($K869,Parameters!$A$5:$D$101,4,FALSE),"")</f>
        <v/>
      </c>
      <c r="S869" s="19"/>
      <c r="T869" s="19"/>
      <c r="U869" s="19"/>
      <c r="V869" s="19"/>
      <c r="W869" s="19"/>
      <c r="X869" s="19"/>
    </row>
    <row r="870" spans="1:24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 t="str">
        <f>IFERROR(VLOOKUP($K870,Parameters!$A$5:$D$101,3,FALSE),"")</f>
        <v/>
      </c>
      <c r="R870" s="19" t="str">
        <f>IFERROR(VLOOKUP($K870,Parameters!$A$5:$D$101,4,FALSE),"")</f>
        <v/>
      </c>
      <c r="S870" s="19"/>
      <c r="T870" s="19"/>
      <c r="U870" s="19"/>
      <c r="V870" s="19"/>
      <c r="W870" s="19"/>
      <c r="X870" s="19"/>
    </row>
    <row r="871" spans="1:24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 t="str">
        <f>IFERROR(VLOOKUP($K871,Parameters!$A$5:$D$101,3,FALSE),"")</f>
        <v/>
      </c>
      <c r="R871" s="19" t="str">
        <f>IFERROR(VLOOKUP($K871,Parameters!$A$5:$D$101,4,FALSE),"")</f>
        <v/>
      </c>
      <c r="S871" s="19"/>
      <c r="T871" s="19"/>
      <c r="U871" s="19"/>
      <c r="V871" s="19"/>
      <c r="W871" s="19"/>
      <c r="X871" s="19"/>
    </row>
    <row r="872" spans="1:24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 t="str">
        <f>IFERROR(VLOOKUP($K872,Parameters!$A$5:$D$101,3,FALSE),"")</f>
        <v/>
      </c>
      <c r="R872" s="19" t="str">
        <f>IFERROR(VLOOKUP($K872,Parameters!$A$5:$D$101,4,FALSE),"")</f>
        <v/>
      </c>
      <c r="S872" s="19"/>
      <c r="T872" s="19"/>
      <c r="U872" s="19"/>
      <c r="V872" s="19"/>
      <c r="W872" s="19"/>
      <c r="X872" s="19"/>
    </row>
    <row r="873" spans="1:24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 t="str">
        <f>IFERROR(VLOOKUP($K873,Parameters!$A$5:$D$101,3,FALSE),"")</f>
        <v/>
      </c>
      <c r="R873" s="19" t="str">
        <f>IFERROR(VLOOKUP($K873,Parameters!$A$5:$D$101,4,FALSE),"")</f>
        <v/>
      </c>
      <c r="S873" s="19"/>
      <c r="T873" s="19"/>
      <c r="U873" s="19"/>
      <c r="V873" s="19"/>
      <c r="W873" s="19"/>
      <c r="X873" s="19"/>
    </row>
    <row r="874" spans="1:2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 t="str">
        <f>IFERROR(VLOOKUP($K874,Parameters!$A$5:$D$101,3,FALSE),"")</f>
        <v/>
      </c>
      <c r="R874" s="19" t="str">
        <f>IFERROR(VLOOKUP($K874,Parameters!$A$5:$D$101,4,FALSE),"")</f>
        <v/>
      </c>
      <c r="S874" s="19"/>
      <c r="T874" s="19"/>
      <c r="U874" s="19"/>
      <c r="V874" s="19"/>
      <c r="W874" s="19"/>
      <c r="X874" s="19"/>
    </row>
    <row r="875" spans="1:24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 t="str">
        <f>IFERROR(VLOOKUP($K875,Parameters!$A$5:$D$101,3,FALSE),"")</f>
        <v/>
      </c>
      <c r="R875" s="19" t="str">
        <f>IFERROR(VLOOKUP($K875,Parameters!$A$5:$D$101,4,FALSE),"")</f>
        <v/>
      </c>
      <c r="S875" s="19"/>
      <c r="T875" s="19"/>
      <c r="U875" s="19"/>
      <c r="V875" s="19"/>
      <c r="W875" s="19"/>
      <c r="X875" s="19"/>
    </row>
    <row r="876" spans="1:24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 t="str">
        <f>IFERROR(VLOOKUP($K876,Parameters!$A$5:$D$101,3,FALSE),"")</f>
        <v/>
      </c>
      <c r="R876" s="19" t="str">
        <f>IFERROR(VLOOKUP($K876,Parameters!$A$5:$D$101,4,FALSE),"")</f>
        <v/>
      </c>
      <c r="S876" s="19"/>
      <c r="T876" s="19"/>
      <c r="U876" s="19"/>
      <c r="V876" s="19"/>
      <c r="W876" s="19"/>
      <c r="X876" s="19"/>
    </row>
    <row r="877" spans="1:24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 t="str">
        <f>IFERROR(VLOOKUP($K877,Parameters!$A$5:$D$101,3,FALSE),"")</f>
        <v/>
      </c>
      <c r="R877" s="19" t="str">
        <f>IFERROR(VLOOKUP($K877,Parameters!$A$5:$D$101,4,FALSE),"")</f>
        <v/>
      </c>
      <c r="S877" s="19"/>
      <c r="T877" s="19"/>
      <c r="U877" s="19"/>
      <c r="V877" s="19"/>
      <c r="W877" s="19"/>
      <c r="X877" s="19"/>
    </row>
    <row r="878" spans="1:24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 t="str">
        <f>IFERROR(VLOOKUP($K878,Parameters!$A$5:$D$101,3,FALSE),"")</f>
        <v/>
      </c>
      <c r="R878" s="19" t="str">
        <f>IFERROR(VLOOKUP($K878,Parameters!$A$5:$D$101,4,FALSE),"")</f>
        <v/>
      </c>
      <c r="S878" s="19"/>
      <c r="T878" s="19"/>
      <c r="U878" s="19"/>
      <c r="V878" s="19"/>
      <c r="W878" s="19"/>
      <c r="X878" s="19"/>
    </row>
    <row r="879" spans="1:24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 t="str">
        <f>IFERROR(VLOOKUP($K879,Parameters!$A$5:$D$101,3,FALSE),"")</f>
        <v/>
      </c>
      <c r="R879" s="19" t="str">
        <f>IFERROR(VLOOKUP($K879,Parameters!$A$5:$D$101,4,FALSE),"")</f>
        <v/>
      </c>
      <c r="S879" s="19"/>
      <c r="T879" s="19"/>
      <c r="U879" s="19"/>
      <c r="V879" s="19"/>
      <c r="W879" s="19"/>
      <c r="X879" s="19"/>
    </row>
    <row r="880" spans="1:24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 t="str">
        <f>IFERROR(VLOOKUP($K880,Parameters!$A$5:$D$101,3,FALSE),"")</f>
        <v/>
      </c>
      <c r="R880" s="19" t="str">
        <f>IFERROR(VLOOKUP($K880,Parameters!$A$5:$D$101,4,FALSE),"")</f>
        <v/>
      </c>
      <c r="S880" s="19"/>
      <c r="T880" s="19"/>
      <c r="U880" s="19"/>
      <c r="V880" s="19"/>
      <c r="W880" s="19"/>
      <c r="X880" s="19"/>
    </row>
    <row r="881" spans="1:24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 t="str">
        <f>IFERROR(VLOOKUP($K881,Parameters!$A$5:$D$101,3,FALSE),"")</f>
        <v/>
      </c>
      <c r="R881" s="19" t="str">
        <f>IFERROR(VLOOKUP($K881,Parameters!$A$5:$D$101,4,FALSE),"")</f>
        <v/>
      </c>
      <c r="S881" s="19"/>
      <c r="T881" s="19"/>
      <c r="U881" s="19"/>
      <c r="V881" s="19"/>
      <c r="W881" s="19"/>
      <c r="X881" s="19"/>
    </row>
    <row r="882" spans="1:24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 t="str">
        <f>IFERROR(VLOOKUP($K882,Parameters!$A$5:$D$101,3,FALSE),"")</f>
        <v/>
      </c>
      <c r="R882" s="19" t="str">
        <f>IFERROR(VLOOKUP($K882,Parameters!$A$5:$D$101,4,FALSE),"")</f>
        <v/>
      </c>
      <c r="S882" s="19"/>
      <c r="T882" s="19"/>
      <c r="U882" s="19"/>
      <c r="V882" s="19"/>
      <c r="W882" s="19"/>
      <c r="X882" s="19"/>
    </row>
    <row r="883" spans="1:24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 t="str">
        <f>IFERROR(VLOOKUP($K883,Parameters!$A$5:$D$101,3,FALSE),"")</f>
        <v/>
      </c>
      <c r="R883" s="19" t="str">
        <f>IFERROR(VLOOKUP($K883,Parameters!$A$5:$D$101,4,FALSE),"")</f>
        <v/>
      </c>
      <c r="S883" s="19"/>
      <c r="T883" s="19"/>
      <c r="U883" s="19"/>
      <c r="V883" s="19"/>
      <c r="W883" s="19"/>
      <c r="X883" s="19"/>
    </row>
    <row r="884" spans="1:2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 t="str">
        <f>IFERROR(VLOOKUP($K884,Parameters!$A$5:$D$101,3,FALSE),"")</f>
        <v/>
      </c>
      <c r="R884" s="19" t="str">
        <f>IFERROR(VLOOKUP($K884,Parameters!$A$5:$D$101,4,FALSE),"")</f>
        <v/>
      </c>
      <c r="S884" s="19"/>
      <c r="T884" s="19"/>
      <c r="U884" s="19"/>
      <c r="V884" s="19"/>
      <c r="W884" s="19"/>
      <c r="X884" s="19"/>
    </row>
    <row r="885" spans="1:24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 t="str">
        <f>IFERROR(VLOOKUP($K885,Parameters!$A$5:$D$101,3,FALSE),"")</f>
        <v/>
      </c>
      <c r="R885" s="19" t="str">
        <f>IFERROR(VLOOKUP($K885,Parameters!$A$5:$D$101,4,FALSE),"")</f>
        <v/>
      </c>
      <c r="S885" s="19"/>
      <c r="T885" s="19"/>
      <c r="U885" s="19"/>
      <c r="V885" s="19"/>
      <c r="W885" s="19"/>
      <c r="X885" s="19"/>
    </row>
    <row r="886" spans="1:24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 t="str">
        <f>IFERROR(VLOOKUP($K886,Parameters!$A$5:$D$101,3,FALSE),"")</f>
        <v/>
      </c>
      <c r="R886" s="19" t="str">
        <f>IFERROR(VLOOKUP($K886,Parameters!$A$5:$D$101,4,FALSE),"")</f>
        <v/>
      </c>
      <c r="S886" s="19"/>
      <c r="T886" s="19"/>
      <c r="U886" s="19"/>
      <c r="V886" s="19"/>
      <c r="W886" s="19"/>
      <c r="X886" s="19"/>
    </row>
    <row r="887" spans="1:24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 t="str">
        <f>IFERROR(VLOOKUP($K887,Parameters!$A$5:$D$101,3,FALSE),"")</f>
        <v/>
      </c>
      <c r="R887" s="19" t="str">
        <f>IFERROR(VLOOKUP($K887,Parameters!$A$5:$D$101,4,FALSE),"")</f>
        <v/>
      </c>
      <c r="S887" s="19"/>
      <c r="T887" s="19"/>
      <c r="U887" s="19"/>
      <c r="V887" s="19"/>
      <c r="W887" s="19"/>
      <c r="X887" s="19"/>
    </row>
    <row r="888" spans="1:24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 t="str">
        <f>IFERROR(VLOOKUP($K888,Parameters!$A$5:$D$101,3,FALSE),"")</f>
        <v/>
      </c>
      <c r="R888" s="19" t="str">
        <f>IFERROR(VLOOKUP($K888,Parameters!$A$5:$D$101,4,FALSE),"")</f>
        <v/>
      </c>
      <c r="S888" s="19"/>
      <c r="T888" s="19"/>
      <c r="U888" s="19"/>
      <c r="V888" s="19"/>
      <c r="W888" s="19"/>
      <c r="X888" s="19"/>
    </row>
    <row r="889" spans="1:24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 t="str">
        <f>IFERROR(VLOOKUP($K889,Parameters!$A$5:$D$101,3,FALSE),"")</f>
        <v/>
      </c>
      <c r="R889" s="19" t="str">
        <f>IFERROR(VLOOKUP($K889,Parameters!$A$5:$D$101,4,FALSE),"")</f>
        <v/>
      </c>
      <c r="S889" s="19"/>
      <c r="T889" s="19"/>
      <c r="U889" s="19"/>
      <c r="V889" s="19"/>
      <c r="W889" s="19"/>
      <c r="X889" s="19"/>
    </row>
    <row r="890" spans="1:24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 t="str">
        <f>IFERROR(VLOOKUP($K890,Parameters!$A$5:$D$101,3,FALSE),"")</f>
        <v/>
      </c>
      <c r="R890" s="19" t="str">
        <f>IFERROR(VLOOKUP($K890,Parameters!$A$5:$D$101,4,FALSE),"")</f>
        <v/>
      </c>
      <c r="S890" s="19"/>
      <c r="T890" s="19"/>
      <c r="U890" s="19"/>
      <c r="V890" s="19"/>
      <c r="W890" s="19"/>
      <c r="X890" s="19"/>
    </row>
    <row r="891" spans="1:24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 t="str">
        <f>IFERROR(VLOOKUP($K891,Parameters!$A$5:$D$101,3,FALSE),"")</f>
        <v/>
      </c>
      <c r="R891" s="19" t="str">
        <f>IFERROR(VLOOKUP($K891,Parameters!$A$5:$D$101,4,FALSE),"")</f>
        <v/>
      </c>
      <c r="S891" s="19"/>
      <c r="T891" s="19"/>
      <c r="U891" s="19"/>
      <c r="V891" s="19"/>
      <c r="W891" s="19"/>
      <c r="X891" s="19"/>
    </row>
    <row r="892" spans="1:24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 t="str">
        <f>IFERROR(VLOOKUP($K892,Parameters!$A$5:$D$101,3,FALSE),"")</f>
        <v/>
      </c>
      <c r="R892" s="19" t="str">
        <f>IFERROR(VLOOKUP($K892,Parameters!$A$5:$D$101,4,FALSE),"")</f>
        <v/>
      </c>
      <c r="S892" s="19"/>
      <c r="T892" s="19"/>
      <c r="U892" s="19"/>
      <c r="V892" s="19"/>
      <c r="W892" s="19"/>
      <c r="X892" s="19"/>
    </row>
    <row r="893" spans="1:24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 t="str">
        <f>IFERROR(VLOOKUP($K893,Parameters!$A$5:$D$101,3,FALSE),"")</f>
        <v/>
      </c>
      <c r="R893" s="19" t="str">
        <f>IFERROR(VLOOKUP($K893,Parameters!$A$5:$D$101,4,FALSE),"")</f>
        <v/>
      </c>
      <c r="S893" s="19"/>
      <c r="T893" s="19"/>
      <c r="U893" s="19"/>
      <c r="V893" s="19"/>
      <c r="W893" s="19"/>
      <c r="X893" s="19"/>
    </row>
    <row r="894" spans="1:2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 t="str">
        <f>IFERROR(VLOOKUP($K894,Parameters!$A$5:$D$101,3,FALSE),"")</f>
        <v/>
      </c>
      <c r="R894" s="19" t="str">
        <f>IFERROR(VLOOKUP($K894,Parameters!$A$5:$D$101,4,FALSE),"")</f>
        <v/>
      </c>
      <c r="S894" s="19"/>
      <c r="T894" s="19"/>
      <c r="U894" s="19"/>
      <c r="V894" s="19"/>
      <c r="W894" s="19"/>
      <c r="X894" s="19"/>
    </row>
    <row r="895" spans="1:24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 t="str">
        <f>IFERROR(VLOOKUP($K895,Parameters!$A$5:$D$101,3,FALSE),"")</f>
        <v/>
      </c>
      <c r="R895" s="19" t="str">
        <f>IFERROR(VLOOKUP($K895,Parameters!$A$5:$D$101,4,FALSE),"")</f>
        <v/>
      </c>
      <c r="S895" s="19"/>
      <c r="T895" s="19"/>
      <c r="U895" s="19"/>
      <c r="V895" s="19"/>
      <c r="W895" s="19"/>
      <c r="X895" s="19"/>
    </row>
    <row r="896" spans="1:24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 t="str">
        <f>IFERROR(VLOOKUP($K896,Parameters!$A$5:$D$101,3,FALSE),"")</f>
        <v/>
      </c>
      <c r="R896" s="19" t="str">
        <f>IFERROR(VLOOKUP($K896,Parameters!$A$5:$D$101,4,FALSE),"")</f>
        <v/>
      </c>
      <c r="S896" s="19"/>
      <c r="T896" s="19"/>
      <c r="U896" s="19"/>
      <c r="V896" s="19"/>
      <c r="W896" s="19"/>
      <c r="X896" s="19"/>
    </row>
    <row r="897" spans="1:24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 t="str">
        <f>IFERROR(VLOOKUP($K897,Parameters!$A$5:$D$101,3,FALSE),"")</f>
        <v/>
      </c>
      <c r="R897" s="19" t="str">
        <f>IFERROR(VLOOKUP($K897,Parameters!$A$5:$D$101,4,FALSE),"")</f>
        <v/>
      </c>
      <c r="S897" s="19"/>
      <c r="T897" s="19"/>
      <c r="U897" s="19"/>
      <c r="V897" s="19"/>
      <c r="W897" s="19"/>
      <c r="X897" s="19"/>
    </row>
    <row r="898" spans="1:24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 t="str">
        <f>IFERROR(VLOOKUP($K898,Parameters!$A$5:$D$101,3,FALSE),"")</f>
        <v/>
      </c>
      <c r="R898" s="19" t="str">
        <f>IFERROR(VLOOKUP($K898,Parameters!$A$5:$D$101,4,FALSE),"")</f>
        <v/>
      </c>
      <c r="S898" s="19"/>
      <c r="T898" s="19"/>
      <c r="U898" s="19"/>
      <c r="V898" s="19"/>
      <c r="W898" s="19"/>
      <c r="X898" s="19"/>
    </row>
    <row r="899" spans="1:24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 t="str">
        <f>IFERROR(VLOOKUP($K899,Parameters!$A$5:$D$101,3,FALSE),"")</f>
        <v/>
      </c>
      <c r="R899" s="19" t="str">
        <f>IFERROR(VLOOKUP($K899,Parameters!$A$5:$D$101,4,FALSE),"")</f>
        <v/>
      </c>
      <c r="S899" s="19"/>
      <c r="T899" s="19"/>
      <c r="U899" s="19"/>
      <c r="V899" s="19"/>
      <c r="W899" s="19"/>
      <c r="X899" s="19"/>
    </row>
    <row r="900" spans="1:24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 t="str">
        <f>IFERROR(VLOOKUP($K900,Parameters!$A$5:$D$101,3,FALSE),"")</f>
        <v/>
      </c>
      <c r="R900" s="19" t="str">
        <f>IFERROR(VLOOKUP($K900,Parameters!$A$5:$D$101,4,FALSE),"")</f>
        <v/>
      </c>
      <c r="S900" s="19"/>
      <c r="T900" s="19"/>
      <c r="U900" s="19"/>
      <c r="V900" s="19"/>
      <c r="W900" s="19"/>
      <c r="X900" s="19"/>
    </row>
    <row r="901" spans="1:24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 t="str">
        <f>IFERROR(VLOOKUP($K901,Parameters!$A$5:$D$101,3,FALSE),"")</f>
        <v/>
      </c>
      <c r="R901" s="19" t="str">
        <f>IFERROR(VLOOKUP($K901,Parameters!$A$5:$D$101,4,FALSE),"")</f>
        <v/>
      </c>
      <c r="S901" s="19"/>
      <c r="T901" s="19"/>
      <c r="U901" s="19"/>
      <c r="V901" s="19"/>
      <c r="W901" s="19"/>
      <c r="X901" s="19"/>
    </row>
    <row r="902" spans="1:24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 t="str">
        <f>IFERROR(VLOOKUP($K902,Parameters!$A$5:$D$101,3,FALSE),"")</f>
        <v/>
      </c>
      <c r="R902" s="19" t="str">
        <f>IFERROR(VLOOKUP($K902,Parameters!$A$5:$D$101,4,FALSE),"")</f>
        <v/>
      </c>
      <c r="S902" s="19"/>
      <c r="T902" s="19"/>
      <c r="U902" s="19"/>
      <c r="V902" s="19"/>
      <c r="W902" s="19"/>
      <c r="X902" s="19"/>
    </row>
    <row r="903" spans="1:24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 t="str">
        <f>IFERROR(VLOOKUP($K903,Parameters!$A$5:$D$101,3,FALSE),"")</f>
        <v/>
      </c>
      <c r="R903" s="19" t="str">
        <f>IFERROR(VLOOKUP($K903,Parameters!$A$5:$D$101,4,FALSE),"")</f>
        <v/>
      </c>
      <c r="S903" s="19"/>
      <c r="T903" s="19"/>
      <c r="U903" s="19"/>
      <c r="V903" s="19"/>
      <c r="W903" s="19"/>
      <c r="X903" s="19"/>
    </row>
    <row r="904" spans="1:2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 t="str">
        <f>IFERROR(VLOOKUP($K904,Parameters!$A$5:$D$101,3,FALSE),"")</f>
        <v/>
      </c>
      <c r="R904" s="19" t="str">
        <f>IFERROR(VLOOKUP($K904,Parameters!$A$5:$D$101,4,FALSE),"")</f>
        <v/>
      </c>
      <c r="S904" s="19"/>
      <c r="T904" s="19"/>
      <c r="U904" s="19"/>
      <c r="V904" s="19"/>
      <c r="W904" s="19"/>
      <c r="X904" s="19"/>
    </row>
    <row r="905" spans="1:24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 t="str">
        <f>IFERROR(VLOOKUP($K905,Parameters!$A$5:$D$101,3,FALSE),"")</f>
        <v/>
      </c>
      <c r="R905" s="19" t="str">
        <f>IFERROR(VLOOKUP($K905,Parameters!$A$5:$D$101,4,FALSE),"")</f>
        <v/>
      </c>
      <c r="S905" s="19"/>
      <c r="T905" s="19"/>
      <c r="U905" s="19"/>
      <c r="V905" s="19"/>
      <c r="W905" s="19"/>
      <c r="X905" s="19"/>
    </row>
    <row r="906" spans="1:24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 t="str">
        <f>IFERROR(VLOOKUP($K906,Parameters!$A$5:$D$101,3,FALSE),"")</f>
        <v/>
      </c>
      <c r="R906" s="19" t="str">
        <f>IFERROR(VLOOKUP($K906,Parameters!$A$5:$D$101,4,FALSE),"")</f>
        <v/>
      </c>
      <c r="S906" s="19"/>
      <c r="T906" s="19"/>
      <c r="U906" s="19"/>
      <c r="V906" s="19"/>
      <c r="W906" s="19"/>
      <c r="X906" s="19"/>
    </row>
    <row r="907" spans="1:24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 t="str">
        <f>IFERROR(VLOOKUP($K907,Parameters!$A$5:$D$101,3,FALSE),"")</f>
        <v/>
      </c>
      <c r="R907" s="19" t="str">
        <f>IFERROR(VLOOKUP($K907,Parameters!$A$5:$D$101,4,FALSE),"")</f>
        <v/>
      </c>
      <c r="S907" s="19"/>
      <c r="T907" s="19"/>
      <c r="U907" s="19"/>
      <c r="V907" s="19"/>
      <c r="W907" s="19"/>
      <c r="X907" s="19"/>
    </row>
    <row r="908" spans="1:24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 t="str">
        <f>IFERROR(VLOOKUP($K908,Parameters!$A$5:$D$101,3,FALSE),"")</f>
        <v/>
      </c>
      <c r="R908" s="19" t="str">
        <f>IFERROR(VLOOKUP($K908,Parameters!$A$5:$D$101,4,FALSE),"")</f>
        <v/>
      </c>
      <c r="S908" s="19"/>
      <c r="T908" s="19"/>
      <c r="U908" s="19"/>
      <c r="V908" s="19"/>
      <c r="W908" s="19"/>
      <c r="X908" s="19"/>
    </row>
    <row r="909" spans="1:24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 t="str">
        <f>IFERROR(VLOOKUP($K909,Parameters!$A$5:$D$101,3,FALSE),"")</f>
        <v/>
      </c>
      <c r="R909" s="19" t="str">
        <f>IFERROR(VLOOKUP($K909,Parameters!$A$5:$D$101,4,FALSE),"")</f>
        <v/>
      </c>
      <c r="S909" s="19"/>
      <c r="T909" s="19"/>
      <c r="U909" s="19"/>
      <c r="V909" s="19"/>
      <c r="W909" s="19"/>
      <c r="X909" s="19"/>
    </row>
    <row r="910" spans="1:24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 t="str">
        <f>IFERROR(VLOOKUP($K910,Parameters!$A$5:$D$101,3,FALSE),"")</f>
        <v/>
      </c>
      <c r="R910" s="19" t="str">
        <f>IFERROR(VLOOKUP($K910,Parameters!$A$5:$D$101,4,FALSE),"")</f>
        <v/>
      </c>
      <c r="S910" s="19"/>
      <c r="T910" s="19"/>
      <c r="U910" s="19"/>
      <c r="V910" s="19"/>
      <c r="W910" s="19"/>
      <c r="X910" s="19"/>
    </row>
    <row r="911" spans="1:24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 t="str">
        <f>IFERROR(VLOOKUP($K911,Parameters!$A$5:$D$101,3,FALSE),"")</f>
        <v/>
      </c>
      <c r="R911" s="19" t="str">
        <f>IFERROR(VLOOKUP($K911,Parameters!$A$5:$D$101,4,FALSE),"")</f>
        <v/>
      </c>
      <c r="S911" s="19"/>
      <c r="T911" s="19"/>
      <c r="U911" s="19"/>
      <c r="V911" s="19"/>
      <c r="W911" s="19"/>
      <c r="X911" s="19"/>
    </row>
    <row r="912" spans="1:24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 t="str">
        <f>IFERROR(VLOOKUP($K912,Parameters!$A$5:$D$101,3,FALSE),"")</f>
        <v/>
      </c>
      <c r="R912" s="19" t="str">
        <f>IFERROR(VLOOKUP($K912,Parameters!$A$5:$D$101,4,FALSE),"")</f>
        <v/>
      </c>
      <c r="S912" s="19"/>
      <c r="T912" s="19"/>
      <c r="U912" s="19"/>
      <c r="V912" s="19"/>
      <c r="W912" s="19"/>
      <c r="X912" s="19"/>
    </row>
    <row r="913" spans="1:24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 t="str">
        <f>IFERROR(VLOOKUP($K913,Parameters!$A$5:$D$101,3,FALSE),"")</f>
        <v/>
      </c>
      <c r="R913" s="19" t="str">
        <f>IFERROR(VLOOKUP($K913,Parameters!$A$5:$D$101,4,FALSE),"")</f>
        <v/>
      </c>
      <c r="S913" s="19"/>
      <c r="T913" s="19"/>
      <c r="U913" s="19"/>
      <c r="V913" s="19"/>
      <c r="W913" s="19"/>
      <c r="X913" s="19"/>
    </row>
    <row r="914" spans="1:2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 t="str">
        <f>IFERROR(VLOOKUP($K914,Parameters!$A$5:$D$101,3,FALSE),"")</f>
        <v/>
      </c>
      <c r="R914" s="19" t="str">
        <f>IFERROR(VLOOKUP($K914,Parameters!$A$5:$D$101,4,FALSE),"")</f>
        <v/>
      </c>
      <c r="S914" s="19"/>
      <c r="T914" s="19"/>
      <c r="U914" s="19"/>
      <c r="V914" s="19"/>
      <c r="W914" s="19"/>
      <c r="X914" s="19"/>
    </row>
    <row r="915" spans="1:24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 t="str">
        <f>IFERROR(VLOOKUP($K915,Parameters!$A$5:$D$101,3,FALSE),"")</f>
        <v/>
      </c>
      <c r="R915" s="19" t="str">
        <f>IFERROR(VLOOKUP($K915,Parameters!$A$5:$D$101,4,FALSE),"")</f>
        <v/>
      </c>
      <c r="S915" s="19"/>
      <c r="T915" s="19"/>
      <c r="U915" s="19"/>
      <c r="V915" s="19"/>
      <c r="W915" s="19"/>
      <c r="X915" s="19"/>
    </row>
    <row r="916" spans="1:24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 t="str">
        <f>IFERROR(VLOOKUP($K916,Parameters!$A$5:$D$101,3,FALSE),"")</f>
        <v/>
      </c>
      <c r="R916" s="19" t="str">
        <f>IFERROR(VLOOKUP($K916,Parameters!$A$5:$D$101,4,FALSE),"")</f>
        <v/>
      </c>
      <c r="S916" s="19"/>
      <c r="T916" s="19"/>
      <c r="U916" s="19"/>
      <c r="V916" s="19"/>
      <c r="W916" s="19"/>
      <c r="X916" s="19"/>
    </row>
    <row r="917" spans="1:24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 t="str">
        <f>IFERROR(VLOOKUP($K917,Parameters!$A$5:$D$101,3,FALSE),"")</f>
        <v/>
      </c>
      <c r="R917" s="19" t="str">
        <f>IFERROR(VLOOKUP($K917,Parameters!$A$5:$D$101,4,FALSE),"")</f>
        <v/>
      </c>
      <c r="S917" s="19"/>
      <c r="T917" s="19"/>
      <c r="U917" s="19"/>
      <c r="V917" s="19"/>
      <c r="W917" s="19"/>
      <c r="X917" s="19"/>
    </row>
    <row r="918" spans="1:24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 t="str">
        <f>IFERROR(VLOOKUP($K918,Parameters!$A$5:$D$101,3,FALSE),"")</f>
        <v/>
      </c>
      <c r="R918" s="19" t="str">
        <f>IFERROR(VLOOKUP($K918,Parameters!$A$5:$D$101,4,FALSE),"")</f>
        <v/>
      </c>
      <c r="S918" s="19"/>
      <c r="T918" s="19"/>
      <c r="U918" s="19"/>
      <c r="V918" s="19"/>
      <c r="W918" s="19"/>
      <c r="X918" s="19"/>
    </row>
    <row r="919" spans="1:24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 t="str">
        <f>IFERROR(VLOOKUP($K919,Parameters!$A$5:$D$101,3,FALSE),"")</f>
        <v/>
      </c>
      <c r="R919" s="19" t="str">
        <f>IFERROR(VLOOKUP($K919,Parameters!$A$5:$D$101,4,FALSE),"")</f>
        <v/>
      </c>
      <c r="S919" s="19"/>
      <c r="T919" s="19"/>
      <c r="U919" s="19"/>
      <c r="V919" s="19"/>
      <c r="W919" s="19"/>
      <c r="X919" s="19"/>
    </row>
    <row r="920" spans="1:24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 t="str">
        <f>IFERROR(VLOOKUP($K920,Parameters!$A$5:$D$101,3,FALSE),"")</f>
        <v/>
      </c>
      <c r="R920" s="19" t="str">
        <f>IFERROR(VLOOKUP($K920,Parameters!$A$5:$D$101,4,FALSE),"")</f>
        <v/>
      </c>
      <c r="S920" s="19"/>
      <c r="T920" s="19"/>
      <c r="U920" s="19"/>
      <c r="V920" s="19"/>
      <c r="W920" s="19"/>
      <c r="X920" s="19"/>
    </row>
    <row r="921" spans="1:24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 t="str">
        <f>IFERROR(VLOOKUP($K921,Parameters!$A$5:$D$101,3,FALSE),"")</f>
        <v/>
      </c>
      <c r="R921" s="19" t="str">
        <f>IFERROR(VLOOKUP($K921,Parameters!$A$5:$D$101,4,FALSE),"")</f>
        <v/>
      </c>
      <c r="S921" s="19"/>
      <c r="T921" s="19"/>
      <c r="U921" s="19"/>
      <c r="V921" s="19"/>
      <c r="W921" s="19"/>
      <c r="X921" s="19"/>
    </row>
    <row r="922" spans="1:24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 t="str">
        <f>IFERROR(VLOOKUP($K922,Parameters!$A$5:$D$101,3,FALSE),"")</f>
        <v/>
      </c>
      <c r="R922" s="19" t="str">
        <f>IFERROR(VLOOKUP($K922,Parameters!$A$5:$D$101,4,FALSE),"")</f>
        <v/>
      </c>
      <c r="S922" s="19"/>
      <c r="T922" s="19"/>
      <c r="U922" s="19"/>
      <c r="V922" s="19"/>
      <c r="W922" s="19"/>
      <c r="X922" s="19"/>
    </row>
    <row r="923" spans="1:24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 t="str">
        <f>IFERROR(VLOOKUP($K923,Parameters!$A$5:$D$101,3,FALSE),"")</f>
        <v/>
      </c>
      <c r="R923" s="19" t="str">
        <f>IFERROR(VLOOKUP($K923,Parameters!$A$5:$D$101,4,FALSE),"")</f>
        <v/>
      </c>
      <c r="S923" s="19"/>
      <c r="T923" s="19"/>
      <c r="U923" s="19"/>
      <c r="V923" s="19"/>
      <c r="W923" s="19"/>
      <c r="X923" s="19"/>
    </row>
    <row r="924" spans="1: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 t="str">
        <f>IFERROR(VLOOKUP($K924,Parameters!$A$5:$D$101,3,FALSE),"")</f>
        <v/>
      </c>
      <c r="R924" s="19" t="str">
        <f>IFERROR(VLOOKUP($K924,Parameters!$A$5:$D$101,4,FALSE),"")</f>
        <v/>
      </c>
      <c r="S924" s="19"/>
      <c r="T924" s="19"/>
      <c r="U924" s="19"/>
      <c r="V924" s="19"/>
      <c r="W924" s="19"/>
      <c r="X924" s="19"/>
    </row>
    <row r="925" spans="1:24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 t="str">
        <f>IFERROR(VLOOKUP($K925,Parameters!$A$5:$D$101,3,FALSE),"")</f>
        <v/>
      </c>
      <c r="R925" s="19" t="str">
        <f>IFERROR(VLOOKUP($K925,Parameters!$A$5:$D$101,4,FALSE),"")</f>
        <v/>
      </c>
      <c r="S925" s="19"/>
      <c r="T925" s="19"/>
      <c r="U925" s="19"/>
      <c r="V925" s="19"/>
      <c r="W925" s="19"/>
      <c r="X925" s="19"/>
    </row>
    <row r="926" spans="1:24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 t="str">
        <f>IFERROR(VLOOKUP($K926,Parameters!$A$5:$D$101,3,FALSE),"")</f>
        <v/>
      </c>
      <c r="R926" s="19" t="str">
        <f>IFERROR(VLOOKUP($K926,Parameters!$A$5:$D$101,4,FALSE),"")</f>
        <v/>
      </c>
      <c r="S926" s="19"/>
      <c r="T926" s="19"/>
      <c r="U926" s="19"/>
      <c r="V926" s="19"/>
      <c r="W926" s="19"/>
      <c r="X926" s="19"/>
    </row>
    <row r="927" spans="1:24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 t="str">
        <f>IFERROR(VLOOKUP($K927,Parameters!$A$5:$D$101,3,FALSE),"")</f>
        <v/>
      </c>
      <c r="R927" s="19" t="str">
        <f>IFERROR(VLOOKUP($K927,Parameters!$A$5:$D$101,4,FALSE),"")</f>
        <v/>
      </c>
      <c r="S927" s="19"/>
      <c r="T927" s="19"/>
      <c r="U927" s="19"/>
      <c r="V927" s="19"/>
      <c r="W927" s="19"/>
      <c r="X927" s="19"/>
    </row>
    <row r="928" spans="1:24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 t="str">
        <f>IFERROR(VLOOKUP($K928,Parameters!$A$5:$D$101,3,FALSE),"")</f>
        <v/>
      </c>
      <c r="R928" s="19" t="str">
        <f>IFERROR(VLOOKUP($K928,Parameters!$A$5:$D$101,4,FALSE),"")</f>
        <v/>
      </c>
      <c r="S928" s="19"/>
      <c r="T928" s="19"/>
      <c r="U928" s="19"/>
      <c r="V928" s="19"/>
      <c r="W928" s="19"/>
      <c r="X928" s="19"/>
    </row>
    <row r="929" spans="1:24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 t="str">
        <f>IFERROR(VLOOKUP($K929,Parameters!$A$5:$D$101,3,FALSE),"")</f>
        <v/>
      </c>
      <c r="R929" s="19" t="str">
        <f>IFERROR(VLOOKUP($K929,Parameters!$A$5:$D$101,4,FALSE),"")</f>
        <v/>
      </c>
      <c r="S929" s="19"/>
      <c r="T929" s="19"/>
      <c r="U929" s="19"/>
      <c r="V929" s="19"/>
      <c r="W929" s="19"/>
      <c r="X929" s="19"/>
    </row>
    <row r="930" spans="1:24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 t="str">
        <f>IFERROR(VLOOKUP($K930,Parameters!$A$5:$D$101,3,FALSE),"")</f>
        <v/>
      </c>
      <c r="R930" s="19" t="str">
        <f>IFERROR(VLOOKUP($K930,Parameters!$A$5:$D$101,4,FALSE),"")</f>
        <v/>
      </c>
      <c r="S930" s="19"/>
      <c r="T930" s="19"/>
      <c r="U930" s="19"/>
      <c r="V930" s="19"/>
      <c r="W930" s="19"/>
      <c r="X930" s="19"/>
    </row>
    <row r="931" spans="1:24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 t="str">
        <f>IFERROR(VLOOKUP($K931,Parameters!$A$5:$D$101,3,FALSE),"")</f>
        <v/>
      </c>
      <c r="R931" s="19" t="str">
        <f>IFERROR(VLOOKUP($K931,Parameters!$A$5:$D$101,4,FALSE),"")</f>
        <v/>
      </c>
      <c r="S931" s="19"/>
      <c r="T931" s="19"/>
      <c r="U931" s="19"/>
      <c r="V931" s="19"/>
      <c r="W931" s="19"/>
      <c r="X931" s="19"/>
    </row>
    <row r="932" spans="1:24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 t="str">
        <f>IFERROR(VLOOKUP($K932,Parameters!$A$5:$D$101,3,FALSE),"")</f>
        <v/>
      </c>
      <c r="R932" s="19" t="str">
        <f>IFERROR(VLOOKUP($K932,Parameters!$A$5:$D$101,4,FALSE),"")</f>
        <v/>
      </c>
      <c r="S932" s="19"/>
      <c r="T932" s="19"/>
      <c r="U932" s="19"/>
      <c r="V932" s="19"/>
      <c r="W932" s="19"/>
      <c r="X932" s="19"/>
    </row>
    <row r="933" spans="1:24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 t="str">
        <f>IFERROR(VLOOKUP($K933,Parameters!$A$5:$D$101,3,FALSE),"")</f>
        <v/>
      </c>
      <c r="R933" s="19" t="str">
        <f>IFERROR(VLOOKUP($K933,Parameters!$A$5:$D$101,4,FALSE),"")</f>
        <v/>
      </c>
      <c r="S933" s="19"/>
      <c r="T933" s="19"/>
      <c r="U933" s="19"/>
      <c r="V933" s="19"/>
      <c r="W933" s="19"/>
      <c r="X933" s="19"/>
    </row>
    <row r="934" spans="1:2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 t="str">
        <f>IFERROR(VLOOKUP($K934,Parameters!$A$5:$D$101,3,FALSE),"")</f>
        <v/>
      </c>
      <c r="R934" s="19" t="str">
        <f>IFERROR(VLOOKUP($K934,Parameters!$A$5:$D$101,4,FALSE),"")</f>
        <v/>
      </c>
      <c r="S934" s="19"/>
      <c r="T934" s="19"/>
      <c r="U934" s="19"/>
      <c r="V934" s="19"/>
      <c r="W934" s="19"/>
      <c r="X934" s="19"/>
    </row>
    <row r="935" spans="1:24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 t="str">
        <f>IFERROR(VLOOKUP($K935,Parameters!$A$5:$D$101,3,FALSE),"")</f>
        <v/>
      </c>
      <c r="R935" s="19" t="str">
        <f>IFERROR(VLOOKUP($K935,Parameters!$A$5:$D$101,4,FALSE),"")</f>
        <v/>
      </c>
      <c r="S935" s="19"/>
      <c r="T935" s="19"/>
      <c r="U935" s="19"/>
      <c r="V935" s="19"/>
      <c r="W935" s="19"/>
      <c r="X935" s="19"/>
    </row>
    <row r="936" spans="1:24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 t="str">
        <f>IFERROR(VLOOKUP($K936,Parameters!$A$5:$D$101,3,FALSE),"")</f>
        <v/>
      </c>
      <c r="R936" s="19" t="str">
        <f>IFERROR(VLOOKUP($K936,Parameters!$A$5:$D$101,4,FALSE),"")</f>
        <v/>
      </c>
      <c r="S936" s="19"/>
      <c r="T936" s="19"/>
      <c r="U936" s="19"/>
      <c r="V936" s="19"/>
      <c r="W936" s="19"/>
      <c r="X936" s="19"/>
    </row>
    <row r="937" spans="1:24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 t="str">
        <f>IFERROR(VLOOKUP($K937,Parameters!$A$5:$D$101,3,FALSE),"")</f>
        <v/>
      </c>
      <c r="R937" s="19" t="str">
        <f>IFERROR(VLOOKUP($K937,Parameters!$A$5:$D$101,4,FALSE),"")</f>
        <v/>
      </c>
      <c r="S937" s="19"/>
      <c r="T937" s="19"/>
      <c r="U937" s="19"/>
      <c r="V937" s="19"/>
      <c r="W937" s="19"/>
      <c r="X937" s="19"/>
    </row>
    <row r="938" spans="1:24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 t="str">
        <f>IFERROR(VLOOKUP($K938,Parameters!$A$5:$D$101,3,FALSE),"")</f>
        <v/>
      </c>
      <c r="R938" s="19" t="str">
        <f>IFERROR(VLOOKUP($K938,Parameters!$A$5:$D$101,4,FALSE),"")</f>
        <v/>
      </c>
      <c r="S938" s="19"/>
      <c r="T938" s="19"/>
      <c r="U938" s="19"/>
      <c r="V938" s="19"/>
      <c r="W938" s="19"/>
      <c r="X938" s="19"/>
    </row>
    <row r="939" spans="1:24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 t="str">
        <f>IFERROR(VLOOKUP($K939,Parameters!$A$5:$D$101,3,FALSE),"")</f>
        <v/>
      </c>
      <c r="R939" s="19" t="str">
        <f>IFERROR(VLOOKUP($K939,Parameters!$A$5:$D$101,4,FALSE),"")</f>
        <v/>
      </c>
      <c r="S939" s="19"/>
      <c r="T939" s="19"/>
      <c r="U939" s="19"/>
      <c r="V939" s="19"/>
      <c r="W939" s="19"/>
      <c r="X939" s="19"/>
    </row>
    <row r="940" spans="1:24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 t="str">
        <f>IFERROR(VLOOKUP($K940,Parameters!$A$5:$D$101,3,FALSE),"")</f>
        <v/>
      </c>
      <c r="R940" s="19" t="str">
        <f>IFERROR(VLOOKUP($K940,Parameters!$A$5:$D$101,4,FALSE),"")</f>
        <v/>
      </c>
      <c r="S940" s="19"/>
      <c r="T940" s="19"/>
      <c r="U940" s="19"/>
      <c r="V940" s="19"/>
      <c r="W940" s="19"/>
      <c r="X940" s="19"/>
    </row>
    <row r="941" spans="1:24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 t="str">
        <f>IFERROR(VLOOKUP($K941,Parameters!$A$5:$D$101,3,FALSE),"")</f>
        <v/>
      </c>
      <c r="R941" s="19" t="str">
        <f>IFERROR(VLOOKUP($K941,Parameters!$A$5:$D$101,4,FALSE),"")</f>
        <v/>
      </c>
      <c r="S941" s="19"/>
      <c r="T941" s="19"/>
      <c r="U941" s="19"/>
      <c r="V941" s="19"/>
      <c r="W941" s="19"/>
      <c r="X941" s="19"/>
    </row>
    <row r="942" spans="1:24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 t="str">
        <f>IFERROR(VLOOKUP($K942,Parameters!$A$5:$D$101,3,FALSE),"")</f>
        <v/>
      </c>
      <c r="R942" s="19" t="str">
        <f>IFERROR(VLOOKUP($K942,Parameters!$A$5:$D$101,4,FALSE),"")</f>
        <v/>
      </c>
      <c r="S942" s="19"/>
      <c r="T942" s="19"/>
      <c r="U942" s="19"/>
      <c r="V942" s="19"/>
      <c r="W942" s="19"/>
      <c r="X942" s="19"/>
    </row>
    <row r="943" spans="1:24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 t="str">
        <f>IFERROR(VLOOKUP($K943,Parameters!$A$5:$D$101,3,FALSE),"")</f>
        <v/>
      </c>
      <c r="R943" s="19" t="str">
        <f>IFERROR(VLOOKUP($K943,Parameters!$A$5:$D$101,4,FALSE),"")</f>
        <v/>
      </c>
      <c r="S943" s="19"/>
      <c r="T943" s="19"/>
      <c r="U943" s="19"/>
      <c r="V943" s="19"/>
      <c r="W943" s="19"/>
      <c r="X943" s="19"/>
    </row>
    <row r="944" spans="1:2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 t="str">
        <f>IFERROR(VLOOKUP($K944,Parameters!$A$5:$D$101,3,FALSE),"")</f>
        <v/>
      </c>
      <c r="R944" s="19" t="str">
        <f>IFERROR(VLOOKUP($K944,Parameters!$A$5:$D$101,4,FALSE),"")</f>
        <v/>
      </c>
      <c r="S944" s="19"/>
      <c r="T944" s="19"/>
      <c r="U944" s="19"/>
      <c r="V944" s="19"/>
      <c r="W944" s="19"/>
      <c r="X944" s="19"/>
    </row>
    <row r="945" spans="1:24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 t="str">
        <f>IFERROR(VLOOKUP($K945,Parameters!$A$5:$D$101,3,FALSE),"")</f>
        <v/>
      </c>
      <c r="R945" s="19" t="str">
        <f>IFERROR(VLOOKUP($K945,Parameters!$A$5:$D$101,4,FALSE),"")</f>
        <v/>
      </c>
      <c r="S945" s="19"/>
      <c r="T945" s="19"/>
      <c r="U945" s="19"/>
      <c r="V945" s="19"/>
      <c r="W945" s="19"/>
      <c r="X945" s="19"/>
    </row>
    <row r="946" spans="1:24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 t="str">
        <f>IFERROR(VLOOKUP($K946,Parameters!$A$5:$D$101,3,FALSE),"")</f>
        <v/>
      </c>
      <c r="R946" s="19" t="str">
        <f>IFERROR(VLOOKUP($K946,Parameters!$A$5:$D$101,4,FALSE),"")</f>
        <v/>
      </c>
      <c r="S946" s="19"/>
      <c r="T946" s="19"/>
      <c r="U946" s="19"/>
      <c r="V946" s="19"/>
      <c r="W946" s="19"/>
      <c r="X946" s="19"/>
    </row>
    <row r="947" spans="1:24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 t="str">
        <f>IFERROR(VLOOKUP($K947,Parameters!$A$5:$D$101,3,FALSE),"")</f>
        <v/>
      </c>
      <c r="R947" s="19" t="str">
        <f>IFERROR(VLOOKUP($K947,Parameters!$A$5:$D$101,4,FALSE),"")</f>
        <v/>
      </c>
      <c r="S947" s="19"/>
      <c r="T947" s="19"/>
      <c r="U947" s="19"/>
      <c r="V947" s="19"/>
      <c r="W947" s="19"/>
      <c r="X947" s="19"/>
    </row>
    <row r="948" spans="1:24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 t="str">
        <f>IFERROR(VLOOKUP($K948,Parameters!$A$5:$D$101,3,FALSE),"")</f>
        <v/>
      </c>
      <c r="R948" s="19" t="str">
        <f>IFERROR(VLOOKUP($K948,Parameters!$A$5:$D$101,4,FALSE),"")</f>
        <v/>
      </c>
      <c r="S948" s="19"/>
      <c r="T948" s="19"/>
      <c r="U948" s="19"/>
      <c r="V948" s="19"/>
      <c r="W948" s="19"/>
      <c r="X948" s="19"/>
    </row>
    <row r="949" spans="1:24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 t="str">
        <f>IFERROR(VLOOKUP($K949,Parameters!$A$5:$D$101,3,FALSE),"")</f>
        <v/>
      </c>
      <c r="R949" s="19" t="str">
        <f>IFERROR(VLOOKUP($K949,Parameters!$A$5:$D$101,4,FALSE),"")</f>
        <v/>
      </c>
      <c r="S949" s="19"/>
      <c r="T949" s="19"/>
      <c r="U949" s="19"/>
      <c r="V949" s="19"/>
      <c r="W949" s="19"/>
      <c r="X949" s="19"/>
    </row>
    <row r="950" spans="1:24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 t="str">
        <f>IFERROR(VLOOKUP($K950,Parameters!$A$5:$D$101,3,FALSE),"")</f>
        <v/>
      </c>
      <c r="R950" s="19" t="str">
        <f>IFERROR(VLOOKUP($K950,Parameters!$A$5:$D$101,4,FALSE),"")</f>
        <v/>
      </c>
      <c r="S950" s="19"/>
      <c r="T950" s="19"/>
      <c r="U950" s="19"/>
      <c r="V950" s="19"/>
      <c r="W950" s="19"/>
      <c r="X950" s="19"/>
    </row>
    <row r="951" spans="1:24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 t="str">
        <f>IFERROR(VLOOKUP($K951,Parameters!$A$5:$D$101,3,FALSE),"")</f>
        <v/>
      </c>
      <c r="R951" s="19" t="str">
        <f>IFERROR(VLOOKUP($K951,Parameters!$A$5:$D$101,4,FALSE),"")</f>
        <v/>
      </c>
      <c r="S951" s="19"/>
      <c r="T951" s="19"/>
      <c r="U951" s="19"/>
      <c r="V951" s="19"/>
      <c r="W951" s="19"/>
      <c r="X951" s="19"/>
    </row>
    <row r="952" spans="1:24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 t="str">
        <f>IFERROR(VLOOKUP($K952,Parameters!$A$5:$D$101,3,FALSE),"")</f>
        <v/>
      </c>
      <c r="R952" s="19" t="str">
        <f>IFERROR(VLOOKUP($K952,Parameters!$A$5:$D$101,4,FALSE),"")</f>
        <v/>
      </c>
      <c r="S952" s="19"/>
      <c r="T952" s="19"/>
      <c r="U952" s="19"/>
      <c r="V952" s="19"/>
      <c r="W952" s="19"/>
      <c r="X952" s="19"/>
    </row>
    <row r="953" spans="1:24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 t="str">
        <f>IFERROR(VLOOKUP($K953,Parameters!$A$5:$D$101,3,FALSE),"")</f>
        <v/>
      </c>
      <c r="R953" s="19" t="str">
        <f>IFERROR(VLOOKUP($K953,Parameters!$A$5:$D$101,4,FALSE),"")</f>
        <v/>
      </c>
      <c r="S953" s="19"/>
      <c r="T953" s="19"/>
      <c r="U953" s="19"/>
      <c r="V953" s="19"/>
      <c r="W953" s="19"/>
      <c r="X953" s="19"/>
    </row>
    <row r="954" spans="1:2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 t="str">
        <f>IFERROR(VLOOKUP($K954,Parameters!$A$5:$D$101,3,FALSE),"")</f>
        <v/>
      </c>
      <c r="R954" s="19" t="str">
        <f>IFERROR(VLOOKUP($K954,Parameters!$A$5:$D$101,4,FALSE),"")</f>
        <v/>
      </c>
      <c r="S954" s="19"/>
      <c r="T954" s="19"/>
      <c r="U954" s="19"/>
      <c r="V954" s="19"/>
      <c r="W954" s="19"/>
      <c r="X954" s="19"/>
    </row>
    <row r="955" spans="1:24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 t="str">
        <f>IFERROR(VLOOKUP($K955,Parameters!$A$5:$D$101,3,FALSE),"")</f>
        <v/>
      </c>
      <c r="R955" s="19" t="str">
        <f>IFERROR(VLOOKUP($K955,Parameters!$A$5:$D$101,4,FALSE),"")</f>
        <v/>
      </c>
      <c r="S955" s="19"/>
      <c r="T955" s="19"/>
      <c r="U955" s="19"/>
      <c r="V955" s="19"/>
      <c r="W955" s="19"/>
      <c r="X955" s="19"/>
    </row>
    <row r="956" spans="1:24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 t="str">
        <f>IFERROR(VLOOKUP($K956,Parameters!$A$5:$D$101,3,FALSE),"")</f>
        <v/>
      </c>
      <c r="R956" s="19" t="str">
        <f>IFERROR(VLOOKUP($K956,Parameters!$A$5:$D$101,4,FALSE),"")</f>
        <v/>
      </c>
      <c r="S956" s="19"/>
      <c r="T956" s="19"/>
      <c r="U956" s="19"/>
      <c r="V956" s="19"/>
      <c r="W956" s="19"/>
      <c r="X956" s="19"/>
    </row>
    <row r="957" spans="1:24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 t="str">
        <f>IFERROR(VLOOKUP($K957,Parameters!$A$5:$D$101,3,FALSE),"")</f>
        <v/>
      </c>
      <c r="R957" s="19" t="str">
        <f>IFERROR(VLOOKUP($K957,Parameters!$A$5:$D$101,4,FALSE),"")</f>
        <v/>
      </c>
      <c r="S957" s="19"/>
      <c r="T957" s="19"/>
      <c r="U957" s="19"/>
      <c r="V957" s="19"/>
      <c r="W957" s="19"/>
      <c r="X957" s="19"/>
    </row>
    <row r="958" spans="1:24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 t="str">
        <f>IFERROR(VLOOKUP($K958,Parameters!$A$5:$D$101,3,FALSE),"")</f>
        <v/>
      </c>
      <c r="R958" s="19" t="str">
        <f>IFERROR(VLOOKUP($K958,Parameters!$A$5:$D$101,4,FALSE),"")</f>
        <v/>
      </c>
      <c r="S958" s="19"/>
      <c r="T958" s="19"/>
      <c r="U958" s="19"/>
      <c r="V958" s="19"/>
      <c r="W958" s="19"/>
      <c r="X958" s="19"/>
    </row>
    <row r="959" spans="1:24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 t="str">
        <f>IFERROR(VLOOKUP($K959,Parameters!$A$5:$D$101,3,FALSE),"")</f>
        <v/>
      </c>
      <c r="R959" s="19" t="str">
        <f>IFERROR(VLOOKUP($K959,Parameters!$A$5:$D$101,4,FALSE),"")</f>
        <v/>
      </c>
      <c r="S959" s="19"/>
      <c r="T959" s="19"/>
      <c r="U959" s="19"/>
      <c r="V959" s="19"/>
      <c r="W959" s="19"/>
      <c r="X959" s="19"/>
    </row>
    <row r="960" spans="1:24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 t="str">
        <f>IFERROR(VLOOKUP($K960,Parameters!$A$5:$D$101,3,FALSE),"")</f>
        <v/>
      </c>
      <c r="R960" s="19" t="str">
        <f>IFERROR(VLOOKUP($K960,Parameters!$A$5:$D$101,4,FALSE),"")</f>
        <v/>
      </c>
      <c r="S960" s="19"/>
      <c r="T960" s="19"/>
      <c r="U960" s="19"/>
      <c r="V960" s="19"/>
      <c r="W960" s="19"/>
      <c r="X960" s="19"/>
    </row>
    <row r="961" spans="1:24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 t="str">
        <f>IFERROR(VLOOKUP($K961,Parameters!$A$5:$D$101,3,FALSE),"")</f>
        <v/>
      </c>
      <c r="R961" s="19" t="str">
        <f>IFERROR(VLOOKUP($K961,Parameters!$A$5:$D$101,4,FALSE),"")</f>
        <v/>
      </c>
      <c r="S961" s="19"/>
      <c r="T961" s="19"/>
      <c r="U961" s="19"/>
      <c r="V961" s="19"/>
      <c r="W961" s="19"/>
      <c r="X961" s="19"/>
    </row>
    <row r="962" spans="1:24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 t="str">
        <f>IFERROR(VLOOKUP($K962,Parameters!$A$5:$D$101,3,FALSE),"")</f>
        <v/>
      </c>
      <c r="R962" s="19" t="str">
        <f>IFERROR(VLOOKUP($K962,Parameters!$A$5:$D$101,4,FALSE),"")</f>
        <v/>
      </c>
      <c r="S962" s="19"/>
      <c r="T962" s="19"/>
      <c r="U962" s="19"/>
      <c r="V962" s="19"/>
      <c r="W962" s="19"/>
      <c r="X962" s="19"/>
    </row>
    <row r="963" spans="1:24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 t="str">
        <f>IFERROR(VLOOKUP($K963,Parameters!$A$5:$D$101,3,FALSE),"")</f>
        <v/>
      </c>
      <c r="R963" s="19" t="str">
        <f>IFERROR(VLOOKUP($K963,Parameters!$A$5:$D$101,4,FALSE),"")</f>
        <v/>
      </c>
      <c r="S963" s="19"/>
      <c r="T963" s="19"/>
      <c r="U963" s="19"/>
      <c r="V963" s="19"/>
      <c r="W963" s="19"/>
      <c r="X963" s="19"/>
    </row>
    <row r="964" spans="1:2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 t="str">
        <f>IFERROR(VLOOKUP($K964,Parameters!$A$5:$D$101,3,FALSE),"")</f>
        <v/>
      </c>
      <c r="R964" s="19" t="str">
        <f>IFERROR(VLOOKUP($K964,Parameters!$A$5:$D$101,4,FALSE),"")</f>
        <v/>
      </c>
      <c r="S964" s="19"/>
      <c r="T964" s="19"/>
      <c r="U964" s="19"/>
      <c r="V964" s="19"/>
      <c r="W964" s="19"/>
      <c r="X964" s="19"/>
    </row>
    <row r="965" spans="1:24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 t="str">
        <f>IFERROR(VLOOKUP($K965,Parameters!$A$5:$D$101,3,FALSE),"")</f>
        <v/>
      </c>
      <c r="R965" s="19" t="str">
        <f>IFERROR(VLOOKUP($K965,Parameters!$A$5:$D$101,4,FALSE),"")</f>
        <v/>
      </c>
      <c r="S965" s="19"/>
      <c r="T965" s="19"/>
      <c r="U965" s="19"/>
      <c r="V965" s="19"/>
      <c r="W965" s="19"/>
      <c r="X965" s="19"/>
    </row>
    <row r="966" spans="1:24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 t="str">
        <f>IFERROR(VLOOKUP($K966,Parameters!$A$5:$D$101,3,FALSE),"")</f>
        <v/>
      </c>
      <c r="R966" s="19" t="str">
        <f>IFERROR(VLOOKUP($K966,Parameters!$A$5:$D$101,4,FALSE),"")</f>
        <v/>
      </c>
      <c r="S966" s="19"/>
      <c r="T966" s="19"/>
      <c r="U966" s="19"/>
      <c r="V966" s="19"/>
      <c r="W966" s="19"/>
      <c r="X966" s="19"/>
    </row>
    <row r="967" spans="1:24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 t="str">
        <f>IFERROR(VLOOKUP($K967,Parameters!$A$5:$D$101,3,FALSE),"")</f>
        <v/>
      </c>
      <c r="R967" s="19" t="str">
        <f>IFERROR(VLOOKUP($K967,Parameters!$A$5:$D$101,4,FALSE),"")</f>
        <v/>
      </c>
      <c r="S967" s="19"/>
      <c r="T967" s="19"/>
      <c r="U967" s="19"/>
      <c r="V967" s="19"/>
      <c r="W967" s="19"/>
      <c r="X967" s="19"/>
    </row>
    <row r="968" spans="1:24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 t="str">
        <f>IFERROR(VLOOKUP($K968,Parameters!$A$5:$D$101,3,FALSE),"")</f>
        <v/>
      </c>
      <c r="R968" s="19" t="str">
        <f>IFERROR(VLOOKUP($K968,Parameters!$A$5:$D$101,4,FALSE),"")</f>
        <v/>
      </c>
      <c r="S968" s="19"/>
      <c r="T968" s="19"/>
      <c r="U968" s="19"/>
      <c r="V968" s="19"/>
      <c r="W968" s="19"/>
      <c r="X968" s="19"/>
    </row>
    <row r="969" spans="1:24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 t="str">
        <f>IFERROR(VLOOKUP($K969,Parameters!$A$5:$D$101,3,FALSE),"")</f>
        <v/>
      </c>
      <c r="R969" s="19" t="str">
        <f>IFERROR(VLOOKUP($K969,Parameters!$A$5:$D$101,4,FALSE),"")</f>
        <v/>
      </c>
      <c r="S969" s="19"/>
      <c r="T969" s="19"/>
      <c r="U969" s="19"/>
      <c r="V969" s="19"/>
      <c r="W969" s="19"/>
      <c r="X969" s="19"/>
    </row>
    <row r="970" spans="1:24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 t="str">
        <f>IFERROR(VLOOKUP($K970,Parameters!$A$5:$D$101,3,FALSE),"")</f>
        <v/>
      </c>
      <c r="R970" s="19" t="str">
        <f>IFERROR(VLOOKUP($K970,Parameters!$A$5:$D$101,4,FALSE),"")</f>
        <v/>
      </c>
      <c r="S970" s="19"/>
      <c r="T970" s="19"/>
      <c r="U970" s="19"/>
      <c r="V970" s="19"/>
      <c r="W970" s="19"/>
      <c r="X970" s="19"/>
    </row>
    <row r="971" spans="1:24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 t="str">
        <f>IFERROR(VLOOKUP($K971,Parameters!$A$5:$D$101,3,FALSE),"")</f>
        <v/>
      </c>
      <c r="R971" s="19" t="str">
        <f>IFERROR(VLOOKUP($K971,Parameters!$A$5:$D$101,4,FALSE),"")</f>
        <v/>
      </c>
      <c r="S971" s="19"/>
      <c r="T971" s="19"/>
      <c r="U971" s="19"/>
      <c r="V971" s="19"/>
      <c r="W971" s="19"/>
      <c r="X971" s="19"/>
    </row>
    <row r="972" spans="1:24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 t="str">
        <f>IFERROR(VLOOKUP($K972,Parameters!$A$5:$D$101,3,FALSE),"")</f>
        <v/>
      </c>
      <c r="R972" s="19" t="str">
        <f>IFERROR(VLOOKUP($K972,Parameters!$A$5:$D$101,4,FALSE),"")</f>
        <v/>
      </c>
      <c r="S972" s="19"/>
      <c r="T972" s="19"/>
      <c r="U972" s="19"/>
      <c r="V972" s="19"/>
      <c r="W972" s="19"/>
      <c r="X972" s="19"/>
    </row>
    <row r="973" spans="1:24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 t="str">
        <f>IFERROR(VLOOKUP($K973,Parameters!$A$5:$D$101,3,FALSE),"")</f>
        <v/>
      </c>
      <c r="R973" s="19" t="str">
        <f>IFERROR(VLOOKUP($K973,Parameters!$A$5:$D$101,4,FALSE),"")</f>
        <v/>
      </c>
      <c r="S973" s="19"/>
      <c r="T973" s="19"/>
      <c r="U973" s="19"/>
      <c r="V973" s="19"/>
      <c r="W973" s="19"/>
      <c r="X973" s="19"/>
    </row>
    <row r="974" spans="1:2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 t="str">
        <f>IFERROR(VLOOKUP($K974,Parameters!$A$5:$D$101,3,FALSE),"")</f>
        <v/>
      </c>
      <c r="R974" s="19" t="str">
        <f>IFERROR(VLOOKUP($K974,Parameters!$A$5:$D$101,4,FALSE),"")</f>
        <v/>
      </c>
      <c r="S974" s="19"/>
      <c r="T974" s="19"/>
      <c r="U974" s="19"/>
      <c r="V974" s="19"/>
      <c r="W974" s="19"/>
      <c r="X974" s="19"/>
    </row>
    <row r="975" spans="1:24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 t="str">
        <f>IFERROR(VLOOKUP($K975,Parameters!$A$5:$D$101,3,FALSE),"")</f>
        <v/>
      </c>
      <c r="R975" s="19" t="str">
        <f>IFERROR(VLOOKUP($K975,Parameters!$A$5:$D$101,4,FALSE),"")</f>
        <v/>
      </c>
      <c r="S975" s="19"/>
      <c r="T975" s="19"/>
      <c r="U975" s="19"/>
      <c r="V975" s="19"/>
      <c r="W975" s="19"/>
      <c r="X975" s="19"/>
    </row>
    <row r="976" spans="1:24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 t="str">
        <f>IFERROR(VLOOKUP($K976,Parameters!$A$5:$D$101,3,FALSE),"")</f>
        <v/>
      </c>
      <c r="R976" s="19" t="str">
        <f>IFERROR(VLOOKUP($K976,Parameters!$A$5:$D$101,4,FALSE),"")</f>
        <v/>
      </c>
      <c r="S976" s="19"/>
      <c r="T976" s="19"/>
      <c r="U976" s="19"/>
      <c r="V976" s="19"/>
      <c r="W976" s="19"/>
      <c r="X976" s="19"/>
    </row>
    <row r="977" spans="1:24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 t="str">
        <f>IFERROR(VLOOKUP($K977,Parameters!$A$5:$D$101,3,FALSE),"")</f>
        <v/>
      </c>
      <c r="R977" s="19" t="str">
        <f>IFERROR(VLOOKUP($K977,Parameters!$A$5:$D$101,4,FALSE),"")</f>
        <v/>
      </c>
      <c r="S977" s="19"/>
      <c r="T977" s="19"/>
      <c r="U977" s="19"/>
      <c r="V977" s="19"/>
      <c r="W977" s="19"/>
      <c r="X977" s="19"/>
    </row>
    <row r="978" spans="1:24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 t="str">
        <f>IFERROR(VLOOKUP($K978,Parameters!$A$5:$D$101,3,FALSE),"")</f>
        <v/>
      </c>
      <c r="R978" s="19" t="str">
        <f>IFERROR(VLOOKUP($K978,Parameters!$A$5:$D$101,4,FALSE),"")</f>
        <v/>
      </c>
      <c r="S978" s="19"/>
      <c r="T978" s="19"/>
      <c r="U978" s="19"/>
      <c r="V978" s="19"/>
      <c r="W978" s="19"/>
      <c r="X978" s="19"/>
    </row>
    <row r="979" spans="1:24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 t="str">
        <f>IFERROR(VLOOKUP($K979,Parameters!$A$5:$D$101,3,FALSE),"")</f>
        <v/>
      </c>
      <c r="R979" s="19" t="str">
        <f>IFERROR(VLOOKUP($K979,Parameters!$A$5:$D$101,4,FALSE),"")</f>
        <v/>
      </c>
      <c r="S979" s="19"/>
      <c r="T979" s="19"/>
      <c r="U979" s="19"/>
      <c r="V979" s="19"/>
      <c r="W979" s="19"/>
      <c r="X979" s="19"/>
    </row>
    <row r="980" spans="1:24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 t="str">
        <f>IFERROR(VLOOKUP($K980,Parameters!$A$5:$D$101,3,FALSE),"")</f>
        <v/>
      </c>
      <c r="R980" s="19" t="str">
        <f>IFERROR(VLOOKUP($K980,Parameters!$A$5:$D$101,4,FALSE),"")</f>
        <v/>
      </c>
      <c r="S980" s="19"/>
      <c r="T980" s="19"/>
      <c r="U980" s="19"/>
      <c r="V980" s="19"/>
      <c r="W980" s="19"/>
      <c r="X980" s="19"/>
    </row>
    <row r="981" spans="1:24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 t="str">
        <f>IFERROR(VLOOKUP($K981,Parameters!$A$5:$D$101,3,FALSE),"")</f>
        <v/>
      </c>
      <c r="R981" s="19" t="str">
        <f>IFERROR(VLOOKUP($K981,Parameters!$A$5:$D$101,4,FALSE),"")</f>
        <v/>
      </c>
      <c r="S981" s="19"/>
      <c r="T981" s="19"/>
      <c r="U981" s="19"/>
      <c r="V981" s="19"/>
      <c r="W981" s="19"/>
      <c r="X981" s="19"/>
    </row>
    <row r="982" spans="1:24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 t="str">
        <f>IFERROR(VLOOKUP($K982,Parameters!$A$5:$D$101,3,FALSE),"")</f>
        <v/>
      </c>
      <c r="R982" s="19" t="str">
        <f>IFERROR(VLOOKUP($K982,Parameters!$A$5:$D$101,4,FALSE),"")</f>
        <v/>
      </c>
      <c r="S982" s="19"/>
      <c r="T982" s="19"/>
      <c r="U982" s="19"/>
      <c r="V982" s="19"/>
      <c r="W982" s="19"/>
      <c r="X982" s="19"/>
    </row>
    <row r="983" spans="1:24" ht="3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 t="s">
        <v>47</v>
      </c>
      <c r="L983" s="19" t="s">
        <v>246</v>
      </c>
      <c r="M983" s="19"/>
      <c r="N983" s="19"/>
      <c r="O983" s="19"/>
      <c r="P983" s="19"/>
      <c r="Q983" s="19" t="str">
        <f>IFERROR(VLOOKUP($K983,Parameters!$A$5:$D$101,3,FALSE),"")</f>
        <v>Federal &amp; State Tax</v>
      </c>
      <c r="R983" s="19" t="str">
        <f>IFERROR(VLOOKUP($K983,Parameters!$A$5:$D$101,4,FALSE),"")</f>
        <v>Incorporation</v>
      </c>
      <c r="S983" s="19"/>
      <c r="T983" s="19"/>
      <c r="U983" s="19"/>
      <c r="V983" s="19"/>
      <c r="W983" s="19"/>
      <c r="X983" s="19"/>
    </row>
    <row r="984" spans="1:2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 t="str">
        <f>IFERROR(VLOOKUP($K984,Parameters!$A$5:$D$101,3,FALSE),"")</f>
        <v/>
      </c>
      <c r="R984" s="19" t="str">
        <f>IFERROR(VLOOKUP($K984,Parameters!$A$5:$D$101,4,FALSE),"")</f>
        <v/>
      </c>
      <c r="S984" s="19"/>
      <c r="T984" s="19"/>
      <c r="U984" s="19"/>
      <c r="V984" s="19"/>
      <c r="W984" s="19"/>
      <c r="X984" s="19"/>
    </row>
    <row r="985" spans="1:24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 t="str">
        <f>IFERROR(VLOOKUP($K985,Parameters!$A$5:$D$101,3,FALSE),"")</f>
        <v/>
      </c>
      <c r="R985" s="19" t="str">
        <f>IFERROR(VLOOKUP($K985,Parameters!$A$5:$D$101,4,FALSE),"")</f>
        <v/>
      </c>
      <c r="S985" s="19"/>
      <c r="T985" s="19"/>
      <c r="U985" s="19"/>
      <c r="V985" s="19"/>
      <c r="W985" s="19"/>
      <c r="X985" s="19"/>
    </row>
    <row r="986" spans="1:24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 t="str">
        <f>IFERROR(VLOOKUP($K986,Parameters!$A$5:$D$101,3,FALSE),"")</f>
        <v/>
      </c>
      <c r="R986" s="19" t="str">
        <f>IFERROR(VLOOKUP($K986,Parameters!$A$5:$D$101,4,FALSE),"")</f>
        <v/>
      </c>
      <c r="S986" s="19"/>
      <c r="T986" s="19"/>
      <c r="U986" s="19"/>
      <c r="V986" s="19"/>
      <c r="W986" s="19"/>
      <c r="X986" s="19"/>
    </row>
    <row r="987" spans="1:24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 t="str">
        <f>IFERROR(VLOOKUP($K987,Parameters!$A$5:$D$101,3,FALSE),"")</f>
        <v/>
      </c>
      <c r="R987" s="19" t="str">
        <f>IFERROR(VLOOKUP($K987,Parameters!$A$5:$D$101,4,FALSE),"")</f>
        <v/>
      </c>
      <c r="S987" s="19"/>
      <c r="T987" s="19"/>
      <c r="U987" s="19"/>
      <c r="V987" s="19"/>
      <c r="W987" s="19"/>
      <c r="X987" s="19"/>
    </row>
    <row r="988" spans="1:24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 t="str">
        <f>IFERROR(VLOOKUP($K988,Parameters!$A$5:$D$101,3,FALSE),"")</f>
        <v/>
      </c>
      <c r="R988" s="19" t="str">
        <f>IFERROR(VLOOKUP($K988,Parameters!$A$5:$D$101,4,FALSE),"")</f>
        <v/>
      </c>
      <c r="S988" s="19"/>
      <c r="T988" s="19"/>
      <c r="U988" s="19"/>
      <c r="V988" s="19"/>
      <c r="W988" s="19"/>
      <c r="X988" s="19"/>
    </row>
    <row r="989" spans="1:24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 t="str">
        <f>IFERROR(VLOOKUP($K989,Parameters!$A$5:$D$101,3,FALSE),"")</f>
        <v/>
      </c>
      <c r="R989" s="19" t="str">
        <f>IFERROR(VLOOKUP($K989,Parameters!$A$5:$D$101,4,FALSE),"")</f>
        <v/>
      </c>
      <c r="S989" s="19"/>
      <c r="T989" s="19"/>
      <c r="U989" s="19"/>
      <c r="V989" s="19"/>
      <c r="W989" s="19"/>
      <c r="X989" s="19"/>
    </row>
    <row r="990" spans="1:24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 t="str">
        <f>IFERROR(VLOOKUP($K990,Parameters!$A$5:$D$101,3,FALSE),"")</f>
        <v/>
      </c>
      <c r="R990" s="19" t="str">
        <f>IFERROR(VLOOKUP($K990,Parameters!$A$5:$D$101,4,FALSE),"")</f>
        <v/>
      </c>
      <c r="S990" s="19"/>
      <c r="T990" s="19"/>
      <c r="U990" s="19"/>
      <c r="V990" s="19"/>
      <c r="W990" s="19"/>
      <c r="X990" s="19"/>
    </row>
    <row r="991" spans="1:24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 t="str">
        <f>IFERROR(VLOOKUP($K991,Parameters!$A$5:$D$101,3,FALSE),"")</f>
        <v/>
      </c>
      <c r="R991" s="19" t="str">
        <f>IFERROR(VLOOKUP($K991,Parameters!$A$5:$D$101,4,FALSE),"")</f>
        <v/>
      </c>
      <c r="S991" s="19"/>
      <c r="T991" s="19"/>
      <c r="U991" s="19"/>
      <c r="V991" s="19"/>
      <c r="W991" s="19"/>
      <c r="X991" s="19"/>
    </row>
    <row r="992" spans="1:24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 t="str">
        <f>IFERROR(VLOOKUP($K992,Parameters!$A$5:$D$101,3,FALSE),"")</f>
        <v/>
      </c>
      <c r="R992" s="19" t="str">
        <f>IFERROR(VLOOKUP($K992,Parameters!$A$5:$D$101,4,FALSE),"")</f>
        <v/>
      </c>
      <c r="S992" s="19"/>
      <c r="T992" s="19"/>
      <c r="U992" s="19"/>
      <c r="V992" s="19"/>
      <c r="W992" s="19"/>
      <c r="X992" s="19"/>
    </row>
    <row r="993" spans="1:24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 t="str">
        <f>IFERROR(VLOOKUP($K993,Parameters!$A$5:$D$101,3,FALSE),"")</f>
        <v/>
      </c>
      <c r="R993" s="19" t="str">
        <f>IFERROR(VLOOKUP($K993,Parameters!$A$5:$D$101,4,FALSE),"")</f>
        <v/>
      </c>
      <c r="S993" s="19"/>
      <c r="T993" s="19"/>
      <c r="U993" s="19"/>
      <c r="V993" s="19"/>
      <c r="W993" s="19"/>
      <c r="X993" s="19"/>
    </row>
    <row r="994" spans="1:2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 t="str">
        <f>IFERROR(VLOOKUP($K994,Parameters!$A$5:$D$101,3,FALSE),"")</f>
        <v/>
      </c>
      <c r="R994" s="19" t="str">
        <f>IFERROR(VLOOKUP($K994,Parameters!$A$5:$D$101,4,FALSE),"")</f>
        <v/>
      </c>
      <c r="S994" s="19"/>
      <c r="T994" s="19"/>
      <c r="U994" s="19"/>
      <c r="V994" s="19"/>
      <c r="W994" s="19"/>
      <c r="X994" s="19"/>
    </row>
    <row r="995" spans="1:24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 t="str">
        <f>IFERROR(VLOOKUP($K995,Parameters!$A$5:$D$101,3,FALSE),"")</f>
        <v/>
      </c>
      <c r="R995" s="19" t="str">
        <f>IFERROR(VLOOKUP($K995,Parameters!$A$5:$D$101,4,FALSE),"")</f>
        <v/>
      </c>
      <c r="S995" s="19"/>
      <c r="T995" s="19"/>
      <c r="U995" s="19"/>
      <c r="V995" s="19"/>
      <c r="W995" s="19"/>
      <c r="X995" s="19"/>
    </row>
    <row r="996" spans="1:24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 t="str">
        <f>IFERROR(VLOOKUP($K996,Parameters!$A$5:$D$101,3,FALSE),"")</f>
        <v/>
      </c>
      <c r="R996" s="19" t="str">
        <f>IFERROR(VLOOKUP($K996,Parameters!$A$5:$D$101,4,FALSE),"")</f>
        <v/>
      </c>
      <c r="S996" s="19"/>
      <c r="T996" s="19"/>
      <c r="U996" s="19"/>
      <c r="V996" s="19"/>
      <c r="W996" s="19"/>
      <c r="X996" s="19"/>
    </row>
    <row r="997" spans="1:24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 t="str">
        <f>IFERROR(VLOOKUP($K997,Parameters!$A$5:$D$101,3,FALSE),"")</f>
        <v/>
      </c>
      <c r="R997" s="19" t="str">
        <f>IFERROR(VLOOKUP($K997,Parameters!$A$5:$D$101,4,FALSE),"")</f>
        <v/>
      </c>
      <c r="S997" s="19"/>
      <c r="T997" s="19"/>
      <c r="U997" s="19"/>
      <c r="V997" s="19"/>
      <c r="W997" s="19"/>
      <c r="X997" s="19"/>
    </row>
    <row r="998" spans="1:24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 t="str">
        <f>IFERROR(VLOOKUP($K998,Parameters!$A$5:$D$101,3,FALSE),"")</f>
        <v/>
      </c>
      <c r="R998" s="19" t="str">
        <f>IFERROR(VLOOKUP($K998,Parameters!$A$5:$D$101,4,FALSE),"")</f>
        <v/>
      </c>
      <c r="S998" s="19"/>
      <c r="T998" s="19"/>
      <c r="U998" s="19"/>
      <c r="V998" s="19"/>
      <c r="W998" s="19"/>
      <c r="X998" s="19"/>
    </row>
    <row r="999" spans="1:24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 t="str">
        <f>IFERROR(VLOOKUP($K999,Parameters!$A$5:$D$101,3,FALSE),"")</f>
        <v/>
      </c>
      <c r="R999" s="19" t="str">
        <f>IFERROR(VLOOKUP($K999,Parameters!$A$5:$D$101,4,FALSE),"")</f>
        <v/>
      </c>
      <c r="S999" s="19"/>
      <c r="T999" s="19"/>
      <c r="U999" s="19"/>
      <c r="V999" s="19"/>
      <c r="W999" s="19"/>
      <c r="X999" s="19"/>
    </row>
    <row r="1000" spans="1:24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 t="str">
        <f>IFERROR(VLOOKUP($K1000,Parameters!$A$5:$D$101,3,FALSE),"")</f>
        <v/>
      </c>
      <c r="R1000" s="19" t="str">
        <f>IFERROR(VLOOKUP($K1000,Parameters!$A$5:$D$101,4,FALSE),"")</f>
        <v/>
      </c>
      <c r="S1000" s="19"/>
      <c r="T1000" s="19"/>
      <c r="U1000" s="19"/>
      <c r="V1000" s="19"/>
      <c r="W1000" s="19"/>
      <c r="X1000" s="19"/>
    </row>
  </sheetData>
  <phoneticPr fontId="20" type="noConversion"/>
  <conditionalFormatting sqref="R2:R1000">
    <cfRule type="expression" dxfId="12" priority="1">
      <formula>$R2="High"</formula>
    </cfRule>
    <cfRule type="expression" dxfId="11" priority="2">
      <formula>$R2="Medium"</formula>
    </cfRule>
  </conditionalFormatting>
  <dataValidations count="2">
    <dataValidation type="list" allowBlank="1" sqref="J1001:K5000 M1001:O5000" xr:uid="{00000000-0002-0000-0300-000000000000}">
      <formula1>Jurisdiction</formula1>
    </dataValidation>
    <dataValidation type="list" allowBlank="1" sqref="U1001:U5000" xr:uid="{00000000-0002-0000-0300-000001000000}">
      <formula1>Entity_Status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D8540B6E-3C40-4A57-BE15-6C45973D6382}">
          <x14:formula1>
            <xm:f>Parameters!$A$3:$A$13</xm:f>
          </x14:formula1>
          <xm:sqref>K2:K1000</xm:sqref>
        </x14:dataValidation>
        <x14:dataValidation type="list" allowBlank="1" showInputMessage="1" showErrorMessage="1" xr:uid="{114AC96E-B5A4-449D-9B04-704CF16AD963}">
          <x14:formula1>
            <xm:f>Parameters!$L$3:$L$6</xm:f>
          </x14:formula1>
          <xm:sqref>L984:L1000 L2:L983</xm:sqref>
        </x14:dataValidation>
        <x14:dataValidation type="list" allowBlank="1" showInputMessage="1" showErrorMessage="1" xr:uid="{E2A2914F-AD58-4C6A-91CF-603ED4E49DD5}">
          <x14:formula1>
            <xm:f>Parameters!$C$3:$C$9</xm:f>
          </x14:formula1>
          <xm:sqref>Q2:Q1000</xm:sqref>
        </x14:dataValidation>
        <x14:dataValidation type="list" allowBlank="1" showInputMessage="1" showErrorMessage="1" xr:uid="{74C17F2F-5249-4E36-881D-B72BA138414B}">
          <x14:formula1>
            <xm:f>Parameters!$J$3:$J$7</xm:f>
          </x14:formula1>
          <xm:sqref>R2:R1000</xm:sqref>
        </x14:dataValidation>
        <x14:dataValidation type="list" allowBlank="1" xr:uid="{DFD4E143-27C2-4F09-8B18-323A24A88CFB}">
          <x14:formula1>
            <xm:f>Parameters!$D$3:$D$8</xm:f>
          </x14:formula1>
          <xm:sqref>V2:V1000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showGridLines="0" workbookViewId="0">
      <pane ySplit="1" topLeftCell="A2" activePane="bottomLeft" state="frozen"/>
      <selection activeCell="C3" sqref="C3"/>
      <selection pane="bottomLeft" activeCell="C3" sqref="C3"/>
    </sheetView>
  </sheetViews>
  <sheetFormatPr defaultColWidth="8.81640625" defaultRowHeight="15.5"/>
  <cols>
    <col min="1" max="1" width="13" style="17" customWidth="1"/>
    <col min="2" max="2" width="46" style="17" customWidth="1"/>
    <col min="3" max="3" width="16" style="17" customWidth="1"/>
    <col min="4" max="5" width="12" style="17" customWidth="1"/>
    <col min="6" max="6" width="15" style="17" customWidth="1"/>
    <col min="7" max="16384" width="8.81640625" style="17"/>
  </cols>
  <sheetData>
    <row r="1" spans="1:6" ht="38.5" customHeight="1">
      <c r="A1" s="18" t="s">
        <v>79</v>
      </c>
      <c r="B1" s="18" t="s">
        <v>108</v>
      </c>
      <c r="C1" s="18" t="s">
        <v>109</v>
      </c>
      <c r="D1" s="18" t="s">
        <v>110</v>
      </c>
      <c r="E1" s="18" t="s">
        <v>111</v>
      </c>
      <c r="F1" s="18" t="s">
        <v>112</v>
      </c>
    </row>
    <row r="2" spans="1:6">
      <c r="A2" s="17" t="str">
        <f>tblEntity[[#This Row],[Entity ID]]</f>
        <v>E-001</v>
      </c>
      <c r="B2" s="17" t="str">
        <f>tblEntity[[#This Row],[Address Type (Registered/Admin/Operational)]]</f>
        <v>Registered</v>
      </c>
      <c r="C2" s="17" t="str">
        <f>tblEntity[[#This Row],[Full Address]]</f>
        <v>28, Esplanade</v>
      </c>
      <c r="D2" s="17" t="str">
        <f>tblEntity[[#This Row],[City]]</f>
        <v>St. Helier</v>
      </c>
      <c r="E2" s="17" t="str">
        <f>tblEntity[[#This Row],[Country]]</f>
        <v>Jersey</v>
      </c>
      <c r="F2" s="17" t="str">
        <f>tblEntity[[#This Row],[Postal Code]]</f>
        <v>JE2 3QA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showGridLines="0" topLeftCell="D1" workbookViewId="0">
      <pane ySplit="1" topLeftCell="A2" activePane="bottomLeft" state="frozen"/>
      <selection pane="bottomLeft" activeCell="D2" sqref="D2"/>
    </sheetView>
  </sheetViews>
  <sheetFormatPr defaultColWidth="8.81640625" defaultRowHeight="15.5"/>
  <cols>
    <col min="1" max="1" width="13" style="17" customWidth="1"/>
    <col min="2" max="2" width="11.81640625" style="17" customWidth="1"/>
    <col min="3" max="3" width="22.26953125" style="17" bestFit="1" customWidth="1"/>
    <col min="4" max="4" width="13" style="17" customWidth="1"/>
    <col min="5" max="5" width="12" style="17" customWidth="1"/>
    <col min="6" max="6" width="20" style="17" customWidth="1"/>
    <col min="7" max="7" width="15" style="17" customWidth="1"/>
    <col min="8" max="9" width="12" style="17" customWidth="1"/>
    <col min="10" max="10" width="20" style="17" customWidth="1"/>
    <col min="11" max="11" width="24" style="17" customWidth="1"/>
    <col min="12" max="12" width="16" style="17" customWidth="1"/>
    <col min="13" max="16384" width="8.81640625" style="17"/>
  </cols>
  <sheetData>
    <row r="1" spans="1:12" ht="22" customHeight="1">
      <c r="A1" s="18" t="s">
        <v>113</v>
      </c>
      <c r="B1" s="18" t="s">
        <v>79</v>
      </c>
      <c r="C1" s="18" t="s">
        <v>80</v>
      </c>
      <c r="D1" s="18" t="s">
        <v>114</v>
      </c>
      <c r="E1" s="18" t="s">
        <v>115</v>
      </c>
      <c r="F1" s="18" t="s">
        <v>116</v>
      </c>
      <c r="G1" s="18" t="s">
        <v>117</v>
      </c>
      <c r="H1" s="18" t="s">
        <v>118</v>
      </c>
      <c r="I1" s="18" t="s">
        <v>119</v>
      </c>
      <c r="J1" s="18" t="s">
        <v>120</v>
      </c>
      <c r="K1" s="18" t="s">
        <v>121</v>
      </c>
      <c r="L1" s="18" t="s">
        <v>122</v>
      </c>
    </row>
    <row r="2" spans="1:12">
      <c r="B2" s="17" t="str">
        <f>tblEntity[[#This Row],[Entity ID]]</f>
        <v>E-001</v>
      </c>
      <c r="C2" s="17" t="str">
        <f>tblEntity[[#This Row],[Entity Legal Name]]</f>
        <v>Symax Group Limited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showGridLines="0" topLeftCell="D1" workbookViewId="0">
      <pane ySplit="1" topLeftCell="A2" activePane="bottomLeft" state="frozen"/>
      <selection pane="bottomLeft" activeCell="L2" sqref="L2"/>
    </sheetView>
  </sheetViews>
  <sheetFormatPr defaultColWidth="8.81640625" defaultRowHeight="15.5"/>
  <cols>
    <col min="1" max="1" width="12" style="17" customWidth="1"/>
    <col min="2" max="2" width="13" style="17" customWidth="1"/>
    <col min="3" max="3" width="22.26953125" style="17" bestFit="1" customWidth="1"/>
    <col min="4" max="4" width="13" style="17" customWidth="1"/>
    <col min="5" max="6" width="15" style="17" customWidth="1"/>
    <col min="7" max="7" width="17" style="17" customWidth="1"/>
    <col min="8" max="8" width="34.54296875" style="17" customWidth="1"/>
    <col min="9" max="10" width="12" style="17" customWidth="1"/>
    <col min="11" max="11" width="20" style="17" customWidth="1"/>
    <col min="12" max="12" width="24" style="17" customWidth="1"/>
    <col min="13" max="16384" width="8.81640625" style="17"/>
  </cols>
  <sheetData>
    <row r="1" spans="1:12" ht="22" customHeight="1">
      <c r="A1" s="18" t="s">
        <v>123</v>
      </c>
      <c r="B1" s="18" t="s">
        <v>79</v>
      </c>
      <c r="C1" s="18" t="s">
        <v>80</v>
      </c>
      <c r="D1" s="18" t="s">
        <v>114</v>
      </c>
      <c r="E1" s="18" t="s">
        <v>124</v>
      </c>
      <c r="F1" s="18" t="s">
        <v>117</v>
      </c>
      <c r="G1" s="18" t="s">
        <v>125</v>
      </c>
      <c r="H1" s="18" t="s">
        <v>126</v>
      </c>
      <c r="I1" s="18" t="s">
        <v>118</v>
      </c>
      <c r="J1" s="18" t="s">
        <v>119</v>
      </c>
      <c r="K1" s="18" t="s">
        <v>120</v>
      </c>
      <c r="L1" s="18" t="s">
        <v>121</v>
      </c>
    </row>
    <row r="2" spans="1:12" ht="77.5">
      <c r="B2" s="17" t="str">
        <f>tblEntity[[#This Row],[Entity ID]]</f>
        <v>E-001</v>
      </c>
      <c r="C2" s="17" t="str">
        <f>tblEntity[[#This Row],[Entity Legal Name]]</f>
        <v>Symax Group Limited</v>
      </c>
      <c r="D2" s="17" t="s">
        <v>256</v>
      </c>
      <c r="E2" s="17">
        <v>100</v>
      </c>
      <c r="F2" s="17" t="s">
        <v>36</v>
      </c>
      <c r="G2" s="33">
        <v>22348</v>
      </c>
      <c r="H2" s="34" t="s">
        <v>257</v>
      </c>
      <c r="I2" s="35" t="s">
        <v>258</v>
      </c>
      <c r="J2" s="36"/>
      <c r="K2" s="17">
        <v>124084080</v>
      </c>
      <c r="L2" s="36"/>
    </row>
  </sheetData>
  <hyperlinks>
    <hyperlink ref="I2" r:id="rId1" xr:uid="{A3F25A07-803D-4928-AA8E-CFD09A8C782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showGridLines="0" workbookViewId="0">
      <pane ySplit="1" topLeftCell="A2" activePane="bottomLeft" state="frozen"/>
      <selection pane="bottomLeft" activeCell="L4" sqref="L4"/>
    </sheetView>
  </sheetViews>
  <sheetFormatPr defaultColWidth="8.81640625" defaultRowHeight="15.5"/>
  <cols>
    <col min="1" max="1" width="19" style="17" customWidth="1"/>
    <col min="2" max="2" width="13" style="17" customWidth="1"/>
    <col min="3" max="3" width="22.26953125" style="17" bestFit="1" customWidth="1"/>
    <col min="4" max="4" width="13" style="17" customWidth="1"/>
    <col min="5" max="5" width="12" style="17" customWidth="1"/>
    <col min="6" max="6" width="16" style="17" customWidth="1"/>
    <col min="7" max="8" width="21" style="17" customWidth="1"/>
    <col min="9" max="9" width="13" style="17" customWidth="1"/>
    <col min="10" max="10" width="12" style="17" customWidth="1"/>
    <col min="11" max="11" width="16" style="17" customWidth="1"/>
    <col min="12" max="12" width="12" style="17" customWidth="1"/>
    <col min="13" max="16384" width="8.81640625" style="17"/>
  </cols>
  <sheetData>
    <row r="1" spans="1:12" ht="22" customHeight="1">
      <c r="A1" s="18" t="s">
        <v>132</v>
      </c>
      <c r="B1" s="18" t="s">
        <v>79</v>
      </c>
      <c r="C1" s="18" t="s">
        <v>80</v>
      </c>
      <c r="D1" s="18" t="s">
        <v>133</v>
      </c>
      <c r="E1" s="18" t="s">
        <v>111</v>
      </c>
      <c r="F1" s="18" t="s">
        <v>134</v>
      </c>
      <c r="G1" s="18" t="s">
        <v>265</v>
      </c>
      <c r="H1" s="18" t="s">
        <v>264</v>
      </c>
      <c r="I1" s="18" t="s">
        <v>135</v>
      </c>
      <c r="J1" s="18" t="s">
        <v>19</v>
      </c>
      <c r="K1" s="18" t="s">
        <v>136</v>
      </c>
      <c r="L1" s="18" t="s">
        <v>137</v>
      </c>
    </row>
    <row r="2" spans="1:12" ht="23.5" customHeight="1">
      <c r="A2" s="17" t="s">
        <v>259</v>
      </c>
      <c r="B2" s="17" t="str">
        <f>tblEntity[[#This Row],[Entity ID]]</f>
        <v>E-001</v>
      </c>
      <c r="C2" s="17" t="str">
        <f>tblEntity[[#This Row],[Entity Legal Name]]</f>
        <v>Symax Group Limited</v>
      </c>
      <c r="D2" s="17" t="s">
        <v>263</v>
      </c>
      <c r="E2" s="17" t="s">
        <v>262</v>
      </c>
      <c r="F2" s="36"/>
      <c r="G2" s="17">
        <v>6094240001</v>
      </c>
      <c r="H2" s="17" t="s">
        <v>266</v>
      </c>
      <c r="I2" s="17" t="s">
        <v>267</v>
      </c>
      <c r="J2" s="17" t="s">
        <v>60</v>
      </c>
      <c r="K2" s="17" t="s">
        <v>269</v>
      </c>
      <c r="L2" s="17" t="s">
        <v>28</v>
      </c>
    </row>
    <row r="3" spans="1:12">
      <c r="A3" s="17" t="s">
        <v>260</v>
      </c>
      <c r="B3" s="17" t="str">
        <f>Entity_Master!A2</f>
        <v>E-001</v>
      </c>
      <c r="C3" s="17" t="str">
        <f>Entity_Master!B2</f>
        <v>Symax Group Limited</v>
      </c>
      <c r="D3" s="17" t="s">
        <v>263</v>
      </c>
      <c r="E3" s="17" t="s">
        <v>262</v>
      </c>
      <c r="F3" s="36"/>
      <c r="G3" s="37">
        <v>6094240002</v>
      </c>
      <c r="H3" s="17" t="s">
        <v>266</v>
      </c>
      <c r="I3" s="17" t="s">
        <v>267</v>
      </c>
      <c r="J3" s="17" t="s">
        <v>41</v>
      </c>
      <c r="K3" s="17" t="s">
        <v>269</v>
      </c>
      <c r="L3" s="17" t="s">
        <v>28</v>
      </c>
    </row>
    <row r="4" spans="1:12">
      <c r="A4" s="17" t="s">
        <v>261</v>
      </c>
      <c r="B4" s="17" t="str">
        <f>Entity_Master!A2</f>
        <v>E-001</v>
      </c>
      <c r="C4" s="17" t="str">
        <f>Entity_Master!B2</f>
        <v>Symax Group Limited</v>
      </c>
      <c r="D4" s="17" t="s">
        <v>263</v>
      </c>
      <c r="E4" s="17" t="s">
        <v>262</v>
      </c>
      <c r="F4" s="36"/>
      <c r="G4" s="38" t="s">
        <v>268</v>
      </c>
      <c r="H4" s="17" t="s">
        <v>266</v>
      </c>
      <c r="I4" s="17" t="s">
        <v>267</v>
      </c>
      <c r="J4" s="17" t="s">
        <v>50</v>
      </c>
      <c r="K4" s="17" t="s">
        <v>269</v>
      </c>
      <c r="L4" s="17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showGridLines="0" workbookViewId="0">
      <pane ySplit="1" topLeftCell="A2" activePane="bottomLeft" state="frozen"/>
      <selection activeCell="D1" sqref="D1"/>
      <selection pane="bottomLeft" activeCell="E11" sqref="E11"/>
    </sheetView>
  </sheetViews>
  <sheetFormatPr defaultColWidth="8.81640625" defaultRowHeight="15.5"/>
  <cols>
    <col min="1" max="1" width="16" style="17" customWidth="1"/>
    <col min="2" max="2" width="19" style="17" customWidth="1"/>
    <col min="3" max="3" width="13" style="17" customWidth="1"/>
    <col min="4" max="4" width="21" style="17" customWidth="1"/>
    <col min="5" max="5" width="12" style="17" customWidth="1"/>
    <col min="6" max="6" width="16" style="17" customWidth="1"/>
    <col min="7" max="7" width="24" style="17" customWidth="1"/>
    <col min="8" max="16384" width="8.81640625" style="17"/>
  </cols>
  <sheetData>
    <row r="1" spans="1:7" ht="22" customHeight="1">
      <c r="A1" s="18" t="s">
        <v>138</v>
      </c>
      <c r="B1" s="18" t="s">
        <v>132</v>
      </c>
      <c r="C1" s="18" t="s">
        <v>113</v>
      </c>
      <c r="D1" s="18" t="s">
        <v>139</v>
      </c>
      <c r="E1" s="18" t="s">
        <v>140</v>
      </c>
      <c r="F1" s="18" t="s">
        <v>122</v>
      </c>
      <c r="G1" s="18" t="s">
        <v>121</v>
      </c>
    </row>
    <row r="2" spans="1:7">
      <c r="B2" s="17" t="str">
        <f>Bank_Accounts!A2</f>
        <v>B-001</v>
      </c>
    </row>
    <row r="3" spans="1:7">
      <c r="B3" s="17" t="str">
        <f>Bank_Accounts!A3</f>
        <v>B-002</v>
      </c>
    </row>
    <row r="4" spans="1:7">
      <c r="B4" s="17" t="str">
        <f>Bank_Accounts!A4</f>
        <v>B-003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"/>
  <sheetViews>
    <sheetView showGridLines="0" topLeftCell="F1" workbookViewId="0">
      <pane ySplit="1" topLeftCell="A2" activePane="bottomLeft" state="frozen"/>
      <selection pane="bottomLeft" activeCell="L2" sqref="L2:L50"/>
    </sheetView>
  </sheetViews>
  <sheetFormatPr defaultColWidth="8.81640625" defaultRowHeight="15.5"/>
  <cols>
    <col min="1" max="1" width="13" style="17" customWidth="1"/>
    <col min="2" max="2" width="29.90625" style="17" bestFit="1" customWidth="1"/>
    <col min="3" max="3" width="18.81640625" style="17" bestFit="1" customWidth="1"/>
    <col min="4" max="4" width="17.81640625" style="17" bestFit="1" customWidth="1"/>
    <col min="5" max="6" width="20" style="17" customWidth="1"/>
    <col min="7" max="7" width="24" style="17" customWidth="1"/>
    <col min="8" max="8" width="16" style="17" customWidth="1"/>
    <col min="9" max="9" width="12" style="17" customWidth="1"/>
    <col min="10" max="10" width="24" style="17" customWidth="1"/>
    <col min="11" max="11" width="22" style="17" customWidth="1"/>
    <col min="12" max="13" width="24" style="17" customWidth="1"/>
    <col min="14" max="16384" width="8.81640625" style="17"/>
  </cols>
  <sheetData>
    <row r="1" spans="1:13" ht="22" customHeight="1">
      <c r="A1" s="18" t="s">
        <v>79</v>
      </c>
      <c r="B1" s="18" t="s">
        <v>80</v>
      </c>
      <c r="C1" s="39" t="s">
        <v>141</v>
      </c>
      <c r="D1" s="39" t="s">
        <v>142</v>
      </c>
      <c r="E1" s="39" t="s">
        <v>143</v>
      </c>
      <c r="F1" s="18" t="s">
        <v>144</v>
      </c>
      <c r="G1" s="18" t="s">
        <v>145</v>
      </c>
      <c r="H1" s="18" t="s">
        <v>131</v>
      </c>
      <c r="I1" s="18" t="s">
        <v>88</v>
      </c>
      <c r="J1" s="24" t="s">
        <v>146</v>
      </c>
      <c r="K1" s="24" t="s">
        <v>226</v>
      </c>
      <c r="L1" s="24" t="s">
        <v>148</v>
      </c>
      <c r="M1" s="18" t="s">
        <v>149</v>
      </c>
    </row>
    <row r="2" spans="1:13">
      <c r="A2" s="17" t="str">
        <f>tblEntity[[#This Row],[Entity ID]]</f>
        <v>E-001</v>
      </c>
      <c r="B2" s="17" t="str">
        <f>tblEntity[[#This Row],[Entity Legal Name]]</f>
        <v>Symax Group Limited</v>
      </c>
      <c r="C2" s="19" t="s">
        <v>270</v>
      </c>
      <c r="D2" s="19" t="s">
        <v>58</v>
      </c>
      <c r="E2" s="19"/>
      <c r="F2" s="20"/>
      <c r="G2" s="19"/>
      <c r="H2" s="19"/>
      <c r="I2" s="19"/>
      <c r="J2" s="17" t="str">
        <f t="shared" ref="J2:J33" si="0">IF(F2="","",EDATE(F2,IF(E2="Monthly",1,IF(E2="Quarterly",3,IF(E2="Semi-Annual",6,IF(E2="Annual",12,""))))))</f>
        <v/>
      </c>
      <c r="K2" s="17" t="str">
        <f t="shared" ref="K2:K50" ca="1" si="1">IF(J2="","",J2-TODAY())</f>
        <v/>
      </c>
      <c r="L2" s="17" t="str">
        <f t="shared" ref="L2:L50" si="2">IF(J2="","Missing",IF(K2&lt;0,"Overdue",IF(K2&lt;=30,"Due &lt;30d","On Track")))</f>
        <v>Missing</v>
      </c>
      <c r="M2" s="17" t="str">
        <f t="shared" ref="M2:M50" si="3">IF(L2="Overdue","OVERDUE",IF(L2="Due &lt;30d","DUE SOON",""))</f>
        <v/>
      </c>
    </row>
    <row r="3" spans="1:13">
      <c r="A3" s="19" t="str">
        <f>tblEntity[[#This Row],[Entity ID]]</f>
        <v>E-002</v>
      </c>
      <c r="B3" s="19" t="str">
        <f>tblEntity[[#This Row],[Entity Legal Name]]</f>
        <v>Mycom Holding Limited</v>
      </c>
      <c r="C3" s="19"/>
      <c r="D3" s="19" t="s">
        <v>58</v>
      </c>
      <c r="E3" s="19"/>
      <c r="F3" s="20"/>
      <c r="G3" s="19"/>
      <c r="H3" s="19"/>
      <c r="I3" s="19"/>
      <c r="J3" s="17" t="str">
        <f t="shared" si="0"/>
        <v/>
      </c>
      <c r="K3" s="17" t="str">
        <f t="shared" ca="1" si="1"/>
        <v/>
      </c>
      <c r="L3" s="17" t="str">
        <f t="shared" si="2"/>
        <v>Missing</v>
      </c>
      <c r="M3" s="17" t="str">
        <f t="shared" si="3"/>
        <v/>
      </c>
    </row>
    <row r="4" spans="1:13">
      <c r="A4" s="19" t="str">
        <f>tblEntity[[#This Row],[Entity ID]]</f>
        <v>E-003</v>
      </c>
      <c r="B4" s="19" t="str">
        <f>tblEntity[[#This Row],[Entity Legal Name]]</f>
        <v>Amertaat Ltd.</v>
      </c>
      <c r="C4" s="19"/>
      <c r="D4" s="19"/>
      <c r="E4" s="19"/>
      <c r="F4" s="20"/>
      <c r="G4" s="19"/>
      <c r="H4" s="19"/>
      <c r="I4" s="19"/>
      <c r="J4" s="17" t="str">
        <f t="shared" si="0"/>
        <v/>
      </c>
      <c r="K4" s="17" t="str">
        <f t="shared" ca="1" si="1"/>
        <v/>
      </c>
      <c r="L4" s="17" t="str">
        <f t="shared" si="2"/>
        <v>Missing</v>
      </c>
      <c r="M4" s="17" t="str">
        <f t="shared" si="3"/>
        <v/>
      </c>
    </row>
    <row r="5" spans="1:13">
      <c r="A5" s="19" t="str">
        <f>tblEntity[[#This Row],[Entity ID]]</f>
        <v>E-004</v>
      </c>
      <c r="B5" s="19" t="str">
        <f>tblEntity[[#This Row],[Entity Legal Name]]</f>
        <v>One Media Tech Holding Inc.</v>
      </c>
      <c r="C5" s="19"/>
      <c r="D5" s="19"/>
      <c r="E5" s="19"/>
      <c r="F5" s="20"/>
      <c r="G5" s="19"/>
      <c r="H5" s="19"/>
      <c r="I5" s="19"/>
      <c r="J5" s="17" t="str">
        <f t="shared" si="0"/>
        <v/>
      </c>
      <c r="K5" s="17" t="str">
        <f t="shared" ca="1" si="1"/>
        <v/>
      </c>
      <c r="L5" s="17" t="str">
        <f t="shared" si="2"/>
        <v>Missing</v>
      </c>
      <c r="M5" s="17" t="str">
        <f t="shared" si="3"/>
        <v/>
      </c>
    </row>
    <row r="6" spans="1:13">
      <c r="A6" s="19" t="str">
        <f>tblEntity[[#This Row],[Entity ID]]</f>
        <v>E-005</v>
      </c>
      <c r="B6" s="19" t="str">
        <f>tblEntity[[#This Row],[Entity Legal Name]]</f>
        <v>Symax General Trading LLC</v>
      </c>
      <c r="C6" s="19"/>
      <c r="D6" s="19"/>
      <c r="E6" s="19"/>
      <c r="F6" s="20"/>
      <c r="G6" s="19"/>
      <c r="H6" s="19"/>
      <c r="I6" s="19"/>
      <c r="J6" s="17" t="str">
        <f t="shared" si="0"/>
        <v/>
      </c>
      <c r="K6" s="17" t="str">
        <f t="shared" ca="1" si="1"/>
        <v/>
      </c>
      <c r="L6" s="17" t="str">
        <f t="shared" si="2"/>
        <v>Missing</v>
      </c>
      <c r="M6" s="17" t="str">
        <f t="shared" si="3"/>
        <v/>
      </c>
    </row>
    <row r="7" spans="1:13">
      <c r="A7" s="19" t="str">
        <f>tblEntity[[#This Row],[Entity ID]]</f>
        <v>E-006</v>
      </c>
      <c r="B7" s="19" t="str">
        <f>tblEntity[[#This Row],[Entity Legal Name]]</f>
        <v>Symax Law FZCO</v>
      </c>
      <c r="C7" s="19"/>
      <c r="D7" s="19"/>
      <c r="E7" s="19"/>
      <c r="F7" s="20"/>
      <c r="G7" s="19"/>
      <c r="H7" s="19"/>
      <c r="I7" s="19"/>
      <c r="J7" s="17" t="str">
        <f t="shared" si="0"/>
        <v/>
      </c>
      <c r="K7" s="17" t="str">
        <f t="shared" ca="1" si="1"/>
        <v/>
      </c>
      <c r="L7" s="17" t="str">
        <f t="shared" si="2"/>
        <v>Missing</v>
      </c>
      <c r="M7" s="17" t="str">
        <f t="shared" si="3"/>
        <v/>
      </c>
    </row>
    <row r="8" spans="1:13">
      <c r="A8" s="19" t="str">
        <f>tblEntity[[#This Row],[Entity ID]]</f>
        <v>E-007</v>
      </c>
      <c r="B8" s="19" t="str">
        <f>tblEntity[[#This Row],[Entity Legal Name]]</f>
        <v>Z Prime Ltd</v>
      </c>
      <c r="C8" s="19"/>
      <c r="D8" s="19"/>
      <c r="E8" s="19"/>
      <c r="F8" s="20"/>
      <c r="G8" s="19"/>
      <c r="H8" s="19"/>
      <c r="I8" s="19"/>
      <c r="J8" s="17" t="str">
        <f t="shared" si="0"/>
        <v/>
      </c>
      <c r="K8" s="17" t="str">
        <f t="shared" ca="1" si="1"/>
        <v/>
      </c>
      <c r="L8" s="17" t="str">
        <f t="shared" si="2"/>
        <v>Missing</v>
      </c>
      <c r="M8" s="17" t="str">
        <f t="shared" si="3"/>
        <v/>
      </c>
    </row>
    <row r="9" spans="1:13">
      <c r="A9" s="19" t="str">
        <f>tblEntity[[#This Row],[Entity ID]]</f>
        <v>E-008</v>
      </c>
      <c r="B9" s="19" t="str">
        <f>tblEntity[[#This Row],[Entity Legal Name]]</f>
        <v>Z Prime GmbH</v>
      </c>
      <c r="C9" s="19"/>
      <c r="D9" s="19"/>
      <c r="E9" s="19"/>
      <c r="F9" s="20"/>
      <c r="G9" s="19"/>
      <c r="H9" s="19"/>
      <c r="I9" s="19"/>
      <c r="J9" s="17" t="str">
        <f t="shared" si="0"/>
        <v/>
      </c>
      <c r="K9" s="17" t="str">
        <f t="shared" ca="1" si="1"/>
        <v/>
      </c>
      <c r="L9" s="17" t="str">
        <f t="shared" si="2"/>
        <v>Missing</v>
      </c>
      <c r="M9" s="17" t="str">
        <f t="shared" si="3"/>
        <v/>
      </c>
    </row>
    <row r="10" spans="1:13">
      <c r="A10" s="19" t="str">
        <f>tblEntity[[#This Row],[Entity ID]]</f>
        <v>E-009</v>
      </c>
      <c r="B10" s="19" t="str">
        <f>tblEntity[[#This Row],[Entity Legal Name]]</f>
        <v>Amertaat Italia SRL</v>
      </c>
      <c r="C10" s="19"/>
      <c r="D10" s="19"/>
      <c r="E10" s="19"/>
      <c r="F10" s="20"/>
      <c r="G10" s="19"/>
      <c r="H10" s="19"/>
      <c r="I10" s="19"/>
      <c r="J10" s="17" t="str">
        <f t="shared" si="0"/>
        <v/>
      </c>
      <c r="K10" s="17" t="str">
        <f t="shared" ca="1" si="1"/>
        <v/>
      </c>
      <c r="L10" s="17" t="str">
        <f t="shared" si="2"/>
        <v>Missing</v>
      </c>
      <c r="M10" s="17" t="str">
        <f t="shared" si="3"/>
        <v/>
      </c>
    </row>
    <row r="11" spans="1:13">
      <c r="A11" s="19" t="str">
        <f>tblEntity[[#This Row],[Entity ID]]</f>
        <v>E-010</v>
      </c>
      <c r="B11" s="19" t="str">
        <f>tblEntity[[#This Row],[Entity Legal Name]]</f>
        <v>eJuno FZCO</v>
      </c>
      <c r="C11" s="19"/>
      <c r="D11" s="19"/>
      <c r="E11" s="19"/>
      <c r="F11" s="20"/>
      <c r="G11" s="19"/>
      <c r="H11" s="19"/>
      <c r="I11" s="19"/>
      <c r="J11" s="17" t="str">
        <f t="shared" si="0"/>
        <v/>
      </c>
      <c r="K11" s="17" t="str">
        <f t="shared" ca="1" si="1"/>
        <v/>
      </c>
      <c r="L11" s="17" t="str">
        <f t="shared" si="2"/>
        <v>Missing</v>
      </c>
      <c r="M11" s="17" t="str">
        <f t="shared" si="3"/>
        <v/>
      </c>
    </row>
    <row r="12" spans="1:13">
      <c r="A12" s="19" t="str">
        <f>tblEntity[[#This Row],[Entity ID]]</f>
        <v>E-011</v>
      </c>
      <c r="B12" s="19">
        <f>tblEntity[[#This Row],[Entity Legal Name]]</f>
        <v>0</v>
      </c>
      <c r="C12" s="19"/>
      <c r="D12" s="19"/>
      <c r="E12" s="19"/>
      <c r="F12" s="20"/>
      <c r="G12" s="19"/>
      <c r="H12" s="19"/>
      <c r="I12" s="19"/>
      <c r="J12" s="17" t="str">
        <f t="shared" si="0"/>
        <v/>
      </c>
      <c r="K12" s="17" t="str">
        <f t="shared" ca="1" si="1"/>
        <v/>
      </c>
      <c r="L12" s="17" t="str">
        <f t="shared" si="2"/>
        <v>Missing</v>
      </c>
      <c r="M12" s="17" t="str">
        <f t="shared" si="3"/>
        <v/>
      </c>
    </row>
    <row r="13" spans="1:13">
      <c r="A13" s="19">
        <f>tblEntity[[#This Row],[Entity ID]]</f>
        <v>0</v>
      </c>
      <c r="B13" s="19">
        <f>tblEntity[[#This Row],[Entity Legal Name]]</f>
        <v>0</v>
      </c>
      <c r="C13" s="19"/>
      <c r="D13" s="19"/>
      <c r="E13" s="19"/>
      <c r="F13" s="20"/>
      <c r="G13" s="19"/>
      <c r="H13" s="19"/>
      <c r="I13" s="19"/>
      <c r="J13" s="17" t="str">
        <f t="shared" si="0"/>
        <v/>
      </c>
      <c r="K13" s="17" t="str">
        <f t="shared" ca="1" si="1"/>
        <v/>
      </c>
      <c r="L13" s="17" t="str">
        <f t="shared" si="2"/>
        <v>Missing</v>
      </c>
      <c r="M13" s="17" t="str">
        <f t="shared" si="3"/>
        <v/>
      </c>
    </row>
    <row r="14" spans="1:13">
      <c r="A14" s="19">
        <f>tblEntity[[#This Row],[Entity ID]]</f>
        <v>0</v>
      </c>
      <c r="B14" s="19">
        <f>tblEntity[[#This Row],[Entity Legal Name]]</f>
        <v>0</v>
      </c>
      <c r="C14" s="19"/>
      <c r="D14" s="19"/>
      <c r="E14" s="19"/>
      <c r="F14" s="20"/>
      <c r="G14" s="19"/>
      <c r="H14" s="19"/>
      <c r="I14" s="19"/>
      <c r="J14" s="17" t="str">
        <f t="shared" si="0"/>
        <v/>
      </c>
      <c r="K14" s="17" t="str">
        <f t="shared" ca="1" si="1"/>
        <v/>
      </c>
      <c r="L14" s="17" t="str">
        <f t="shared" si="2"/>
        <v>Missing</v>
      </c>
      <c r="M14" s="17" t="str">
        <f t="shared" si="3"/>
        <v/>
      </c>
    </row>
    <row r="15" spans="1:13">
      <c r="A15" s="19">
        <f>tblEntity[[#This Row],[Entity ID]]</f>
        <v>0</v>
      </c>
      <c r="B15" s="19">
        <f>tblEntity[[#This Row],[Entity Legal Name]]</f>
        <v>0</v>
      </c>
      <c r="C15" s="19"/>
      <c r="D15" s="19"/>
      <c r="E15" s="19"/>
      <c r="F15" s="20"/>
      <c r="G15" s="19"/>
      <c r="H15" s="19"/>
      <c r="I15" s="19"/>
      <c r="J15" s="17" t="str">
        <f t="shared" si="0"/>
        <v/>
      </c>
      <c r="K15" s="17" t="str">
        <f t="shared" ca="1" si="1"/>
        <v/>
      </c>
      <c r="L15" s="17" t="str">
        <f t="shared" si="2"/>
        <v>Missing</v>
      </c>
      <c r="M15" s="17" t="str">
        <f t="shared" si="3"/>
        <v/>
      </c>
    </row>
    <row r="16" spans="1:13">
      <c r="A16" s="19">
        <f>tblEntity[[#This Row],[Entity ID]]</f>
        <v>0</v>
      </c>
      <c r="B16" s="19">
        <f>tblEntity[[#This Row],[Entity Legal Name]]</f>
        <v>0</v>
      </c>
      <c r="C16" s="19"/>
      <c r="D16" s="19"/>
      <c r="E16" s="19"/>
      <c r="F16" s="20"/>
      <c r="G16" s="19"/>
      <c r="H16" s="19"/>
      <c r="I16" s="19"/>
      <c r="J16" s="17" t="str">
        <f t="shared" si="0"/>
        <v/>
      </c>
      <c r="K16" s="17" t="str">
        <f t="shared" ca="1" si="1"/>
        <v/>
      </c>
      <c r="L16" s="17" t="str">
        <f t="shared" si="2"/>
        <v>Missing</v>
      </c>
      <c r="M16" s="17" t="str">
        <f t="shared" si="3"/>
        <v/>
      </c>
    </row>
    <row r="17" spans="1:13">
      <c r="A17" s="19">
        <f>tblEntity[[#This Row],[Entity ID]]</f>
        <v>0</v>
      </c>
      <c r="B17" s="19">
        <f>tblEntity[[#This Row],[Entity Legal Name]]</f>
        <v>0</v>
      </c>
      <c r="C17" s="19"/>
      <c r="D17" s="19"/>
      <c r="E17" s="19"/>
      <c r="F17" s="20"/>
      <c r="G17" s="19"/>
      <c r="H17" s="19"/>
      <c r="I17" s="19"/>
      <c r="J17" s="17" t="str">
        <f t="shared" si="0"/>
        <v/>
      </c>
      <c r="K17" s="17" t="str">
        <f t="shared" ca="1" si="1"/>
        <v/>
      </c>
      <c r="L17" s="17" t="str">
        <f t="shared" si="2"/>
        <v>Missing</v>
      </c>
      <c r="M17" s="17" t="str">
        <f t="shared" si="3"/>
        <v/>
      </c>
    </row>
    <row r="18" spans="1:13">
      <c r="A18" s="19">
        <f>tblEntity[[#This Row],[Entity ID]]</f>
        <v>0</v>
      </c>
      <c r="B18" s="19">
        <f>tblEntity[[#This Row],[Entity Legal Name]]</f>
        <v>0</v>
      </c>
      <c r="C18" s="19"/>
      <c r="D18" s="19"/>
      <c r="E18" s="19"/>
      <c r="F18" s="20"/>
      <c r="G18" s="19"/>
      <c r="H18" s="19"/>
      <c r="I18" s="19"/>
      <c r="J18" s="17" t="str">
        <f t="shared" si="0"/>
        <v/>
      </c>
      <c r="K18" s="17" t="str">
        <f t="shared" ca="1" si="1"/>
        <v/>
      </c>
      <c r="L18" s="17" t="str">
        <f t="shared" si="2"/>
        <v>Missing</v>
      </c>
      <c r="M18" s="17" t="str">
        <f t="shared" si="3"/>
        <v/>
      </c>
    </row>
    <row r="19" spans="1:13">
      <c r="A19" s="19">
        <f>tblEntity[[#This Row],[Entity ID]]</f>
        <v>0</v>
      </c>
      <c r="B19" s="19">
        <f>tblEntity[[#This Row],[Entity Legal Name]]</f>
        <v>0</v>
      </c>
      <c r="C19" s="19"/>
      <c r="D19" s="19"/>
      <c r="E19" s="19"/>
      <c r="F19" s="20"/>
      <c r="G19" s="19"/>
      <c r="H19" s="19"/>
      <c r="I19" s="19"/>
      <c r="J19" s="17" t="str">
        <f t="shared" si="0"/>
        <v/>
      </c>
      <c r="K19" s="17" t="str">
        <f t="shared" ca="1" si="1"/>
        <v/>
      </c>
      <c r="L19" s="17" t="str">
        <f t="shared" si="2"/>
        <v>Missing</v>
      </c>
      <c r="M19" s="17" t="str">
        <f t="shared" si="3"/>
        <v/>
      </c>
    </row>
    <row r="20" spans="1:13">
      <c r="A20" s="19">
        <f>tblEntity[[#This Row],[Entity ID]]</f>
        <v>0</v>
      </c>
      <c r="B20" s="19">
        <f>tblEntity[[#This Row],[Entity Legal Name]]</f>
        <v>0</v>
      </c>
      <c r="C20" s="19"/>
      <c r="D20" s="19"/>
      <c r="E20" s="19"/>
      <c r="F20" s="20"/>
      <c r="G20" s="19"/>
      <c r="H20" s="19"/>
      <c r="I20" s="19"/>
      <c r="J20" s="17" t="str">
        <f t="shared" si="0"/>
        <v/>
      </c>
      <c r="K20" s="17" t="str">
        <f t="shared" ca="1" si="1"/>
        <v/>
      </c>
      <c r="L20" s="17" t="str">
        <f t="shared" si="2"/>
        <v>Missing</v>
      </c>
      <c r="M20" s="17" t="str">
        <f t="shared" si="3"/>
        <v/>
      </c>
    </row>
    <row r="21" spans="1:13">
      <c r="A21" s="19">
        <f>tblEntity[[#This Row],[Entity ID]]</f>
        <v>0</v>
      </c>
      <c r="B21" s="19">
        <f>tblEntity[[#This Row],[Entity Legal Name]]</f>
        <v>0</v>
      </c>
      <c r="C21" s="19"/>
      <c r="D21" s="19"/>
      <c r="E21" s="19"/>
      <c r="F21" s="20"/>
      <c r="G21" s="19"/>
      <c r="H21" s="19"/>
      <c r="I21" s="19"/>
      <c r="J21" s="17" t="str">
        <f t="shared" si="0"/>
        <v/>
      </c>
      <c r="K21" s="17" t="str">
        <f t="shared" ca="1" si="1"/>
        <v/>
      </c>
      <c r="L21" s="17" t="str">
        <f t="shared" si="2"/>
        <v>Missing</v>
      </c>
      <c r="M21" s="17" t="str">
        <f t="shared" si="3"/>
        <v/>
      </c>
    </row>
    <row r="22" spans="1:13">
      <c r="A22" s="19">
        <f>tblEntity[[#This Row],[Entity ID]]</f>
        <v>0</v>
      </c>
      <c r="B22" s="19">
        <f>tblEntity[[#This Row],[Entity Legal Name]]</f>
        <v>0</v>
      </c>
      <c r="C22" s="19"/>
      <c r="D22" s="19"/>
      <c r="E22" s="19"/>
      <c r="F22" s="20"/>
      <c r="G22" s="19"/>
      <c r="H22" s="19"/>
      <c r="I22" s="19"/>
      <c r="J22" s="17" t="str">
        <f t="shared" si="0"/>
        <v/>
      </c>
      <c r="K22" s="17" t="str">
        <f t="shared" ca="1" si="1"/>
        <v/>
      </c>
      <c r="L22" s="17" t="str">
        <f t="shared" si="2"/>
        <v>Missing</v>
      </c>
      <c r="M22" s="17" t="str">
        <f t="shared" si="3"/>
        <v/>
      </c>
    </row>
    <row r="23" spans="1:13">
      <c r="A23" s="19">
        <f>tblEntity[[#This Row],[Entity ID]]</f>
        <v>0</v>
      </c>
      <c r="B23" s="19">
        <f>tblEntity[[#This Row],[Entity Legal Name]]</f>
        <v>0</v>
      </c>
      <c r="C23" s="19"/>
      <c r="D23" s="19"/>
      <c r="E23" s="19"/>
      <c r="F23" s="20"/>
      <c r="G23" s="19"/>
      <c r="H23" s="19"/>
      <c r="I23" s="19"/>
      <c r="J23" s="17" t="str">
        <f t="shared" si="0"/>
        <v/>
      </c>
      <c r="K23" s="17" t="str">
        <f t="shared" ca="1" si="1"/>
        <v/>
      </c>
      <c r="L23" s="17" t="str">
        <f t="shared" si="2"/>
        <v>Missing</v>
      </c>
      <c r="M23" s="17" t="str">
        <f t="shared" si="3"/>
        <v/>
      </c>
    </row>
    <row r="24" spans="1:13">
      <c r="A24" s="19">
        <f>tblEntity[[#This Row],[Entity ID]]</f>
        <v>0</v>
      </c>
      <c r="B24" s="19">
        <f>tblEntity[[#This Row],[Entity Legal Name]]</f>
        <v>0</v>
      </c>
      <c r="C24" s="19"/>
      <c r="D24" s="19"/>
      <c r="E24" s="19"/>
      <c r="F24" s="20"/>
      <c r="G24" s="19"/>
      <c r="H24" s="19"/>
      <c r="I24" s="19"/>
      <c r="J24" s="17" t="str">
        <f t="shared" si="0"/>
        <v/>
      </c>
      <c r="K24" s="17" t="str">
        <f t="shared" ca="1" si="1"/>
        <v/>
      </c>
      <c r="L24" s="17" t="str">
        <f t="shared" si="2"/>
        <v>Missing</v>
      </c>
      <c r="M24" s="17" t="str">
        <f t="shared" si="3"/>
        <v/>
      </c>
    </row>
    <row r="25" spans="1:13">
      <c r="A25" s="19">
        <f>tblEntity[[#This Row],[Entity ID]]</f>
        <v>0</v>
      </c>
      <c r="B25" s="19">
        <f>tblEntity[[#This Row],[Entity Legal Name]]</f>
        <v>0</v>
      </c>
      <c r="C25" s="19"/>
      <c r="D25" s="19"/>
      <c r="E25" s="19"/>
      <c r="F25" s="20"/>
      <c r="G25" s="19"/>
      <c r="H25" s="19"/>
      <c r="I25" s="19"/>
      <c r="J25" s="17" t="str">
        <f t="shared" si="0"/>
        <v/>
      </c>
      <c r="K25" s="17" t="str">
        <f t="shared" ca="1" si="1"/>
        <v/>
      </c>
      <c r="L25" s="17" t="str">
        <f t="shared" si="2"/>
        <v>Missing</v>
      </c>
      <c r="M25" s="17" t="str">
        <f t="shared" si="3"/>
        <v/>
      </c>
    </row>
    <row r="26" spans="1:13">
      <c r="A26" s="19">
        <f>tblEntity[[#This Row],[Entity ID]]</f>
        <v>0</v>
      </c>
      <c r="B26" s="19">
        <f>tblEntity[[#This Row],[Entity Legal Name]]</f>
        <v>0</v>
      </c>
      <c r="C26" s="19"/>
      <c r="D26" s="19"/>
      <c r="E26" s="19"/>
      <c r="F26" s="20"/>
      <c r="G26" s="19"/>
      <c r="H26" s="19"/>
      <c r="I26" s="19"/>
      <c r="J26" s="17" t="str">
        <f t="shared" si="0"/>
        <v/>
      </c>
      <c r="K26" s="17" t="str">
        <f t="shared" ca="1" si="1"/>
        <v/>
      </c>
      <c r="L26" s="17" t="str">
        <f t="shared" si="2"/>
        <v>Missing</v>
      </c>
      <c r="M26" s="17" t="str">
        <f t="shared" si="3"/>
        <v/>
      </c>
    </row>
    <row r="27" spans="1:13">
      <c r="A27" s="19">
        <f>tblEntity[[#This Row],[Entity ID]]</f>
        <v>0</v>
      </c>
      <c r="B27" s="19">
        <f>tblEntity[[#This Row],[Entity Legal Name]]</f>
        <v>0</v>
      </c>
      <c r="C27" s="19"/>
      <c r="D27" s="19"/>
      <c r="E27" s="19"/>
      <c r="F27" s="20"/>
      <c r="G27" s="19"/>
      <c r="H27" s="19"/>
      <c r="I27" s="19"/>
      <c r="J27" s="17" t="str">
        <f t="shared" si="0"/>
        <v/>
      </c>
      <c r="K27" s="17" t="str">
        <f t="shared" ca="1" si="1"/>
        <v/>
      </c>
      <c r="L27" s="17" t="str">
        <f t="shared" si="2"/>
        <v>Missing</v>
      </c>
      <c r="M27" s="17" t="str">
        <f t="shared" si="3"/>
        <v/>
      </c>
    </row>
    <row r="28" spans="1:13">
      <c r="A28" s="19">
        <f>tblEntity[[#This Row],[Entity ID]]</f>
        <v>0</v>
      </c>
      <c r="B28" s="19">
        <f>tblEntity[[#This Row],[Entity Legal Name]]</f>
        <v>0</v>
      </c>
      <c r="C28" s="19"/>
      <c r="D28" s="19"/>
      <c r="E28" s="19"/>
      <c r="F28" s="20"/>
      <c r="G28" s="19"/>
      <c r="H28" s="19"/>
      <c r="I28" s="19"/>
      <c r="J28" s="17" t="str">
        <f t="shared" si="0"/>
        <v/>
      </c>
      <c r="K28" s="17" t="str">
        <f t="shared" ca="1" si="1"/>
        <v/>
      </c>
      <c r="L28" s="17" t="str">
        <f t="shared" si="2"/>
        <v>Missing</v>
      </c>
      <c r="M28" s="17" t="str">
        <f t="shared" si="3"/>
        <v/>
      </c>
    </row>
    <row r="29" spans="1:13">
      <c r="A29" s="19">
        <f>tblEntity[[#This Row],[Entity ID]]</f>
        <v>0</v>
      </c>
      <c r="B29" s="19">
        <f>tblEntity[[#This Row],[Entity Legal Name]]</f>
        <v>0</v>
      </c>
      <c r="C29" s="19"/>
      <c r="D29" s="19"/>
      <c r="E29" s="19"/>
      <c r="F29" s="20"/>
      <c r="G29" s="19"/>
      <c r="H29" s="19"/>
      <c r="I29" s="19"/>
      <c r="J29" s="17" t="str">
        <f t="shared" si="0"/>
        <v/>
      </c>
      <c r="K29" s="17" t="str">
        <f t="shared" ca="1" si="1"/>
        <v/>
      </c>
      <c r="L29" s="17" t="str">
        <f t="shared" si="2"/>
        <v>Missing</v>
      </c>
      <c r="M29" s="17" t="str">
        <f t="shared" si="3"/>
        <v/>
      </c>
    </row>
    <row r="30" spans="1:13">
      <c r="A30" s="19">
        <f>tblEntity[[#This Row],[Entity ID]]</f>
        <v>0</v>
      </c>
      <c r="B30" s="19">
        <f>tblEntity[[#This Row],[Entity Legal Name]]</f>
        <v>0</v>
      </c>
      <c r="C30" s="19"/>
      <c r="D30" s="19"/>
      <c r="E30" s="19"/>
      <c r="F30" s="20"/>
      <c r="G30" s="19"/>
      <c r="H30" s="19"/>
      <c r="I30" s="19"/>
      <c r="J30" s="17" t="str">
        <f t="shared" si="0"/>
        <v/>
      </c>
      <c r="K30" s="17" t="str">
        <f t="shared" ca="1" si="1"/>
        <v/>
      </c>
      <c r="L30" s="17" t="str">
        <f t="shared" si="2"/>
        <v>Missing</v>
      </c>
      <c r="M30" s="17" t="str">
        <f t="shared" si="3"/>
        <v/>
      </c>
    </row>
    <row r="31" spans="1:13">
      <c r="A31" s="19">
        <f>tblEntity[[#This Row],[Entity ID]]</f>
        <v>0</v>
      </c>
      <c r="B31" s="19">
        <f>tblEntity[[#This Row],[Entity Legal Name]]</f>
        <v>0</v>
      </c>
      <c r="C31" s="19"/>
      <c r="D31" s="19"/>
      <c r="E31" s="19"/>
      <c r="F31" s="20"/>
      <c r="G31" s="19"/>
      <c r="H31" s="19" t="s">
        <v>26</v>
      </c>
      <c r="I31" s="19"/>
      <c r="J31" s="17" t="str">
        <f t="shared" si="0"/>
        <v/>
      </c>
      <c r="K31" s="17" t="str">
        <f t="shared" ca="1" si="1"/>
        <v/>
      </c>
      <c r="L31" s="17" t="str">
        <f t="shared" si="2"/>
        <v>Missing</v>
      </c>
      <c r="M31" s="17" t="str">
        <f t="shared" si="3"/>
        <v/>
      </c>
    </row>
    <row r="32" spans="1:13">
      <c r="A32" s="19">
        <f>tblEntity[[#This Row],[Entity ID]]</f>
        <v>0</v>
      </c>
      <c r="B32" s="19">
        <f>tblEntity[[#This Row],[Entity Legal Name]]</f>
        <v>0</v>
      </c>
      <c r="C32" s="19"/>
      <c r="D32" s="19"/>
      <c r="E32" s="19"/>
      <c r="F32" s="20"/>
      <c r="G32" s="19"/>
      <c r="H32" s="19"/>
      <c r="I32" s="19"/>
      <c r="J32" s="17" t="str">
        <f t="shared" si="0"/>
        <v/>
      </c>
      <c r="K32" s="17" t="str">
        <f t="shared" ca="1" si="1"/>
        <v/>
      </c>
      <c r="L32" s="17" t="str">
        <f t="shared" si="2"/>
        <v>Missing</v>
      </c>
      <c r="M32" s="17" t="str">
        <f t="shared" si="3"/>
        <v/>
      </c>
    </row>
    <row r="33" spans="1:13">
      <c r="A33" s="19">
        <f>tblEntity[[#This Row],[Entity ID]]</f>
        <v>0</v>
      </c>
      <c r="B33" s="19">
        <f>tblEntity[[#This Row],[Entity Legal Name]]</f>
        <v>0</v>
      </c>
      <c r="C33" s="19"/>
      <c r="D33" s="19"/>
      <c r="E33" s="19"/>
      <c r="F33" s="20"/>
      <c r="G33" s="19"/>
      <c r="H33" s="19"/>
      <c r="I33" s="19"/>
      <c r="J33" s="17" t="str">
        <f t="shared" si="0"/>
        <v/>
      </c>
      <c r="K33" s="17" t="str">
        <f t="shared" ca="1" si="1"/>
        <v/>
      </c>
      <c r="L33" s="17" t="str">
        <f t="shared" si="2"/>
        <v>Missing</v>
      </c>
      <c r="M33" s="17" t="str">
        <f t="shared" si="3"/>
        <v/>
      </c>
    </row>
    <row r="34" spans="1:13">
      <c r="A34" s="19">
        <f>tblEntity[[#This Row],[Entity ID]]</f>
        <v>0</v>
      </c>
      <c r="B34" s="19">
        <f>tblEntity[[#This Row],[Entity Legal Name]]</f>
        <v>0</v>
      </c>
      <c r="C34" s="19"/>
      <c r="D34" s="19"/>
      <c r="E34" s="19"/>
      <c r="F34" s="20"/>
      <c r="G34" s="19"/>
      <c r="H34" s="19"/>
      <c r="I34" s="19"/>
      <c r="J34" s="17" t="str">
        <f t="shared" ref="J34:J50" si="4">IF(F34="","",EDATE(F34,IF(E34="Monthly",1,IF(E34="Quarterly",3,IF(E34="Semi-Annual",6,IF(E34="Annual",12,""))))))</f>
        <v/>
      </c>
      <c r="K34" s="17" t="str">
        <f t="shared" ca="1" si="1"/>
        <v/>
      </c>
      <c r="L34" s="17" t="str">
        <f t="shared" si="2"/>
        <v>Missing</v>
      </c>
      <c r="M34" s="17" t="str">
        <f t="shared" si="3"/>
        <v/>
      </c>
    </row>
    <row r="35" spans="1:13">
      <c r="A35" s="19">
        <f>tblEntity[[#This Row],[Entity ID]]</f>
        <v>0</v>
      </c>
      <c r="B35" s="19">
        <f>tblEntity[[#This Row],[Entity Legal Name]]</f>
        <v>0</v>
      </c>
      <c r="C35" s="19"/>
      <c r="D35" s="19"/>
      <c r="E35" s="19"/>
      <c r="F35" s="20"/>
      <c r="G35" s="19"/>
      <c r="H35" s="19"/>
      <c r="I35" s="19"/>
      <c r="J35" s="17" t="str">
        <f t="shared" si="4"/>
        <v/>
      </c>
      <c r="K35" s="17" t="str">
        <f t="shared" ca="1" si="1"/>
        <v/>
      </c>
      <c r="L35" s="17" t="str">
        <f t="shared" si="2"/>
        <v>Missing</v>
      </c>
      <c r="M35" s="17" t="str">
        <f t="shared" si="3"/>
        <v/>
      </c>
    </row>
    <row r="36" spans="1:13">
      <c r="A36" s="19">
        <f>tblEntity[[#This Row],[Entity ID]]</f>
        <v>0</v>
      </c>
      <c r="B36" s="19">
        <f>tblEntity[[#This Row],[Entity Legal Name]]</f>
        <v>0</v>
      </c>
      <c r="C36" s="19"/>
      <c r="D36" s="19"/>
      <c r="E36" s="19"/>
      <c r="F36" s="20"/>
      <c r="G36" s="19"/>
      <c r="H36" s="19"/>
      <c r="I36" s="19"/>
      <c r="J36" s="17" t="str">
        <f t="shared" si="4"/>
        <v/>
      </c>
      <c r="K36" s="17" t="str">
        <f t="shared" ca="1" si="1"/>
        <v/>
      </c>
      <c r="L36" s="17" t="str">
        <f t="shared" si="2"/>
        <v>Missing</v>
      </c>
      <c r="M36" s="17" t="str">
        <f t="shared" si="3"/>
        <v/>
      </c>
    </row>
    <row r="37" spans="1:13">
      <c r="A37" s="19">
        <f>tblEntity[[#This Row],[Entity ID]]</f>
        <v>0</v>
      </c>
      <c r="B37" s="19">
        <f>tblEntity[[#This Row],[Entity Legal Name]]</f>
        <v>0</v>
      </c>
      <c r="C37" s="19"/>
      <c r="D37" s="19"/>
      <c r="E37" s="19"/>
      <c r="F37" s="20"/>
      <c r="G37" s="19"/>
      <c r="H37" s="19"/>
      <c r="I37" s="19"/>
      <c r="J37" s="17" t="str">
        <f t="shared" si="4"/>
        <v/>
      </c>
      <c r="K37" s="17" t="str">
        <f t="shared" ca="1" si="1"/>
        <v/>
      </c>
      <c r="L37" s="17" t="str">
        <f t="shared" si="2"/>
        <v>Missing</v>
      </c>
      <c r="M37" s="17" t="str">
        <f t="shared" si="3"/>
        <v/>
      </c>
    </row>
    <row r="38" spans="1:13">
      <c r="A38" s="19">
        <f>tblEntity[[#This Row],[Entity ID]]</f>
        <v>0</v>
      </c>
      <c r="B38" s="19">
        <f>tblEntity[[#This Row],[Entity Legal Name]]</f>
        <v>0</v>
      </c>
      <c r="C38" s="19"/>
      <c r="D38" s="19"/>
      <c r="E38" s="19"/>
      <c r="F38" s="20"/>
      <c r="G38" s="19"/>
      <c r="H38" s="19"/>
      <c r="I38" s="19"/>
      <c r="J38" s="17" t="str">
        <f t="shared" si="4"/>
        <v/>
      </c>
      <c r="K38" s="17" t="str">
        <f t="shared" ca="1" si="1"/>
        <v/>
      </c>
      <c r="L38" s="17" t="str">
        <f t="shared" si="2"/>
        <v>Missing</v>
      </c>
      <c r="M38" s="17" t="str">
        <f t="shared" si="3"/>
        <v/>
      </c>
    </row>
    <row r="39" spans="1:13">
      <c r="A39" s="19">
        <f>tblEntity[[#This Row],[Entity ID]]</f>
        <v>0</v>
      </c>
      <c r="B39" s="19">
        <f>tblEntity[[#This Row],[Entity Legal Name]]</f>
        <v>0</v>
      </c>
      <c r="C39" s="19"/>
      <c r="D39" s="19"/>
      <c r="E39" s="19"/>
      <c r="F39" s="20"/>
      <c r="G39" s="19"/>
      <c r="H39" s="19"/>
      <c r="I39" s="19"/>
      <c r="J39" s="17" t="str">
        <f t="shared" si="4"/>
        <v/>
      </c>
      <c r="K39" s="17" t="str">
        <f t="shared" ca="1" si="1"/>
        <v/>
      </c>
      <c r="L39" s="17" t="str">
        <f t="shared" si="2"/>
        <v>Missing</v>
      </c>
      <c r="M39" s="17" t="str">
        <f t="shared" si="3"/>
        <v/>
      </c>
    </row>
    <row r="40" spans="1:13">
      <c r="A40" s="19">
        <f>tblEntity[[#This Row],[Entity ID]]</f>
        <v>0</v>
      </c>
      <c r="B40" s="19">
        <f>tblEntity[[#This Row],[Entity Legal Name]]</f>
        <v>0</v>
      </c>
      <c r="C40" s="19"/>
      <c r="D40" s="19"/>
      <c r="E40" s="19"/>
      <c r="F40" s="20"/>
      <c r="G40" s="19"/>
      <c r="H40" s="19"/>
      <c r="I40" s="19"/>
      <c r="J40" s="17" t="str">
        <f t="shared" si="4"/>
        <v/>
      </c>
      <c r="K40" s="17" t="str">
        <f t="shared" ca="1" si="1"/>
        <v/>
      </c>
      <c r="L40" s="17" t="str">
        <f t="shared" si="2"/>
        <v>Missing</v>
      </c>
      <c r="M40" s="17" t="str">
        <f t="shared" si="3"/>
        <v/>
      </c>
    </row>
    <row r="41" spans="1:13">
      <c r="A41" s="19">
        <f>tblEntity[[#This Row],[Entity ID]]</f>
        <v>0</v>
      </c>
      <c r="B41" s="19">
        <f>tblEntity[[#This Row],[Entity Legal Name]]</f>
        <v>0</v>
      </c>
      <c r="C41" s="19"/>
      <c r="D41" s="19"/>
      <c r="E41" s="19"/>
      <c r="F41" s="20"/>
      <c r="G41" s="19"/>
      <c r="H41" s="19"/>
      <c r="I41" s="19"/>
      <c r="J41" s="17" t="str">
        <f t="shared" si="4"/>
        <v/>
      </c>
      <c r="K41" s="17" t="str">
        <f t="shared" ca="1" si="1"/>
        <v/>
      </c>
      <c r="L41" s="17" t="str">
        <f t="shared" si="2"/>
        <v>Missing</v>
      </c>
      <c r="M41" s="17" t="str">
        <f t="shared" si="3"/>
        <v/>
      </c>
    </row>
    <row r="42" spans="1:13">
      <c r="A42" s="19">
        <f>tblEntity[[#This Row],[Entity ID]]</f>
        <v>0</v>
      </c>
      <c r="B42" s="19">
        <f>tblEntity[[#This Row],[Entity Legal Name]]</f>
        <v>0</v>
      </c>
      <c r="C42" s="19"/>
      <c r="D42" s="19"/>
      <c r="E42" s="19"/>
      <c r="F42" s="20"/>
      <c r="G42" s="19"/>
      <c r="H42" s="19"/>
      <c r="I42" s="19"/>
      <c r="J42" s="17" t="str">
        <f t="shared" si="4"/>
        <v/>
      </c>
      <c r="K42" s="17" t="str">
        <f t="shared" ca="1" si="1"/>
        <v/>
      </c>
      <c r="L42" s="17" t="str">
        <f t="shared" si="2"/>
        <v>Missing</v>
      </c>
      <c r="M42" s="17" t="str">
        <f t="shared" si="3"/>
        <v/>
      </c>
    </row>
    <row r="43" spans="1:13">
      <c r="A43" s="19">
        <f>tblEntity[[#This Row],[Entity ID]]</f>
        <v>0</v>
      </c>
      <c r="B43" s="19">
        <f>tblEntity[[#This Row],[Entity Legal Name]]</f>
        <v>0</v>
      </c>
      <c r="C43" s="19"/>
      <c r="D43" s="19"/>
      <c r="E43" s="19"/>
      <c r="F43" s="20"/>
      <c r="G43" s="19"/>
      <c r="H43" s="19"/>
      <c r="I43" s="19"/>
      <c r="J43" s="17" t="str">
        <f t="shared" si="4"/>
        <v/>
      </c>
      <c r="K43" s="17" t="str">
        <f t="shared" ca="1" si="1"/>
        <v/>
      </c>
      <c r="L43" s="17" t="str">
        <f t="shared" si="2"/>
        <v>Missing</v>
      </c>
      <c r="M43" s="17" t="str">
        <f t="shared" si="3"/>
        <v/>
      </c>
    </row>
    <row r="44" spans="1:13">
      <c r="A44" s="19">
        <f>tblEntity[[#This Row],[Entity ID]]</f>
        <v>0</v>
      </c>
      <c r="B44" s="19">
        <f>tblEntity[[#This Row],[Entity Legal Name]]</f>
        <v>0</v>
      </c>
      <c r="C44" s="19"/>
      <c r="D44" s="19"/>
      <c r="E44" s="19"/>
      <c r="F44" s="20"/>
      <c r="G44" s="19"/>
      <c r="H44" s="19"/>
      <c r="I44" s="19"/>
      <c r="J44" s="17" t="str">
        <f t="shared" si="4"/>
        <v/>
      </c>
      <c r="K44" s="17" t="str">
        <f t="shared" ca="1" si="1"/>
        <v/>
      </c>
      <c r="L44" s="17" t="str">
        <f t="shared" si="2"/>
        <v>Missing</v>
      </c>
      <c r="M44" s="17" t="str">
        <f t="shared" si="3"/>
        <v/>
      </c>
    </row>
    <row r="45" spans="1:13">
      <c r="A45" s="19">
        <f>tblEntity[[#This Row],[Entity ID]]</f>
        <v>0</v>
      </c>
      <c r="B45" s="19">
        <f>tblEntity[[#This Row],[Entity Legal Name]]</f>
        <v>0</v>
      </c>
      <c r="C45" s="19"/>
      <c r="D45" s="19"/>
      <c r="E45" s="19"/>
      <c r="F45" s="20"/>
      <c r="G45" s="19"/>
      <c r="H45" s="19"/>
      <c r="I45" s="19"/>
      <c r="J45" s="17" t="str">
        <f t="shared" si="4"/>
        <v/>
      </c>
      <c r="K45" s="17" t="str">
        <f t="shared" ca="1" si="1"/>
        <v/>
      </c>
      <c r="L45" s="17" t="str">
        <f t="shared" si="2"/>
        <v>Missing</v>
      </c>
      <c r="M45" s="17" t="str">
        <f t="shared" si="3"/>
        <v/>
      </c>
    </row>
    <row r="46" spans="1:13">
      <c r="A46" s="19">
        <f>tblEntity[[#This Row],[Entity ID]]</f>
        <v>0</v>
      </c>
      <c r="B46" s="19">
        <f>tblEntity[[#This Row],[Entity Legal Name]]</f>
        <v>0</v>
      </c>
      <c r="C46" s="19"/>
      <c r="D46" s="19"/>
      <c r="E46" s="19"/>
      <c r="F46" s="20"/>
      <c r="G46" s="19"/>
      <c r="H46" s="19"/>
      <c r="I46" s="19"/>
      <c r="J46" s="17" t="str">
        <f t="shared" si="4"/>
        <v/>
      </c>
      <c r="K46" s="17" t="str">
        <f t="shared" ca="1" si="1"/>
        <v/>
      </c>
      <c r="L46" s="17" t="str">
        <f t="shared" si="2"/>
        <v>Missing</v>
      </c>
      <c r="M46" s="17" t="str">
        <f t="shared" si="3"/>
        <v/>
      </c>
    </row>
    <row r="47" spans="1:13">
      <c r="A47" s="19">
        <f>tblEntity[[#This Row],[Entity ID]]</f>
        <v>0</v>
      </c>
      <c r="B47" s="19">
        <f>tblEntity[[#This Row],[Entity Legal Name]]</f>
        <v>0</v>
      </c>
      <c r="C47" s="19"/>
      <c r="D47" s="19"/>
      <c r="E47" s="19"/>
      <c r="F47" s="20"/>
      <c r="G47" s="19"/>
      <c r="H47" s="19"/>
      <c r="I47" s="19"/>
      <c r="J47" s="17" t="str">
        <f t="shared" si="4"/>
        <v/>
      </c>
      <c r="K47" s="17" t="str">
        <f t="shared" ca="1" si="1"/>
        <v/>
      </c>
      <c r="L47" s="17" t="str">
        <f t="shared" si="2"/>
        <v>Missing</v>
      </c>
      <c r="M47" s="17" t="str">
        <f t="shared" si="3"/>
        <v/>
      </c>
    </row>
    <row r="48" spans="1:13">
      <c r="A48" s="19">
        <f>tblEntity[[#This Row],[Entity ID]]</f>
        <v>0</v>
      </c>
      <c r="B48" s="19">
        <f>tblEntity[[#This Row],[Entity Legal Name]]</f>
        <v>0</v>
      </c>
      <c r="C48" s="19"/>
      <c r="D48" s="19"/>
      <c r="E48" s="19"/>
      <c r="F48" s="20"/>
      <c r="G48" s="19"/>
      <c r="H48" s="19"/>
      <c r="I48" s="19"/>
      <c r="J48" s="17" t="str">
        <f t="shared" si="4"/>
        <v/>
      </c>
      <c r="K48" s="17" t="str">
        <f t="shared" ca="1" si="1"/>
        <v/>
      </c>
      <c r="L48" s="17" t="str">
        <f t="shared" si="2"/>
        <v>Missing</v>
      </c>
      <c r="M48" s="17" t="str">
        <f t="shared" si="3"/>
        <v/>
      </c>
    </row>
    <row r="49" spans="1:13">
      <c r="A49" s="19">
        <f>tblEntity[[#This Row],[Entity ID]]</f>
        <v>0</v>
      </c>
      <c r="B49" s="19">
        <f>tblEntity[[#This Row],[Entity Legal Name]]</f>
        <v>0</v>
      </c>
      <c r="C49" s="19"/>
      <c r="D49" s="19"/>
      <c r="E49" s="19"/>
      <c r="F49" s="20"/>
      <c r="G49" s="19"/>
      <c r="H49" s="19"/>
      <c r="I49" s="19"/>
      <c r="J49" s="17" t="str">
        <f t="shared" si="4"/>
        <v/>
      </c>
      <c r="K49" s="17" t="str">
        <f t="shared" ca="1" si="1"/>
        <v/>
      </c>
      <c r="L49" s="17" t="str">
        <f t="shared" si="2"/>
        <v>Missing</v>
      </c>
      <c r="M49" s="17" t="str">
        <f t="shared" si="3"/>
        <v/>
      </c>
    </row>
    <row r="50" spans="1:13">
      <c r="A50" s="19">
        <f>tblEntity[[#This Row],[Entity ID]]</f>
        <v>0</v>
      </c>
      <c r="B50" s="19">
        <f>tblEntity[[#This Row],[Entity Legal Name]]</f>
        <v>0</v>
      </c>
      <c r="C50" s="19"/>
      <c r="D50" s="19"/>
      <c r="E50" s="19"/>
      <c r="F50" s="20"/>
      <c r="G50" s="19"/>
      <c r="H50" s="19"/>
      <c r="I50" s="19"/>
      <c r="J50" s="17" t="str">
        <f t="shared" si="4"/>
        <v/>
      </c>
      <c r="K50" s="17" t="str">
        <f t="shared" ca="1" si="1"/>
        <v/>
      </c>
      <c r="L50" s="17" t="str">
        <f t="shared" si="2"/>
        <v>Missing</v>
      </c>
      <c r="M50" s="17" t="str">
        <f t="shared" si="3"/>
        <v/>
      </c>
    </row>
  </sheetData>
  <conditionalFormatting sqref="L2:L4050">
    <cfRule type="expression" dxfId="10" priority="5">
      <formula>$L2="Overdue"</formula>
    </cfRule>
    <cfRule type="expression" dxfId="9" priority="6">
      <formula>$L2="Due &lt;30d"</formula>
    </cfRule>
    <cfRule type="expression" dxfId="8" priority="7">
      <formula>$L2="On Track"</formula>
    </cfRule>
  </conditionalFormatting>
  <dataValidations count="4">
    <dataValidation type="list" allowBlank="1" sqref="E2:E4050" xr:uid="{00000000-0002-0000-0A00-000000000000}">
      <formula1>Filing_Frequency</formula1>
    </dataValidation>
    <dataValidation type="list" allowBlank="1" sqref="D2:D4050" xr:uid="{00000000-0002-0000-0A00-000001000000}">
      <formula1>Tax_Regime</formula1>
    </dataValidation>
    <dataValidation type="list" allowBlank="1" sqref="G51:G4050" xr:uid="{00000000-0002-0000-0A00-000002000000}">
      <formula1>Yes_No</formula1>
    </dataValidation>
    <dataValidation type="list" allowBlank="1" sqref="H2:H4050" xr:uid="{00000000-0002-0000-0A00-000003000000}">
      <formula1>Audit_Status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299560-EEFC-465F-9B64-EFA27EDEC722}">
          <x14:formula1>
            <xm:f>Parameters!$E$3:$E$5</xm:f>
          </x14:formula1>
          <xm:sqref>G2:G50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2"/>
  <sheetViews>
    <sheetView showGridLines="0" topLeftCell="H1" workbookViewId="0">
      <pane ySplit="1" topLeftCell="A2" activePane="bottomLeft" state="frozen"/>
      <selection pane="bottomLeft" activeCell="K6" sqref="K6"/>
    </sheetView>
  </sheetViews>
  <sheetFormatPr defaultColWidth="8.81640625" defaultRowHeight="15.5"/>
  <cols>
    <col min="1" max="1" width="13" style="17" customWidth="1"/>
    <col min="2" max="2" width="29.90625" style="17" bestFit="1" customWidth="1"/>
    <col min="3" max="3" width="16" style="17" customWidth="1"/>
    <col min="4" max="4" width="32.81640625" style="17" bestFit="1" customWidth="1"/>
    <col min="5" max="12" width="34.90625" style="17" customWidth="1"/>
    <col min="13" max="13" width="30.08984375" style="17" customWidth="1"/>
    <col min="14" max="14" width="27.36328125" style="17" customWidth="1"/>
    <col min="15" max="15" width="30.453125" style="17" bestFit="1" customWidth="1"/>
    <col min="16" max="16384" width="8.81640625" style="17"/>
  </cols>
  <sheetData>
    <row r="1" spans="1:16" ht="22" customHeight="1">
      <c r="A1" s="27" t="s">
        <v>79</v>
      </c>
      <c r="B1" s="27" t="s">
        <v>80</v>
      </c>
      <c r="C1" s="27" t="s">
        <v>15</v>
      </c>
      <c r="D1" s="27" t="s">
        <v>233</v>
      </c>
      <c r="E1" s="27" t="s">
        <v>150</v>
      </c>
      <c r="F1" s="27" t="s">
        <v>234</v>
      </c>
      <c r="G1" s="27" t="s">
        <v>235</v>
      </c>
      <c r="H1" s="27" t="s">
        <v>144</v>
      </c>
      <c r="I1" s="39" t="s">
        <v>146</v>
      </c>
      <c r="J1" s="39" t="s">
        <v>226</v>
      </c>
      <c r="K1" s="39" t="s">
        <v>148</v>
      </c>
      <c r="L1" s="18" t="s">
        <v>149</v>
      </c>
      <c r="M1" s="27" t="s">
        <v>151</v>
      </c>
      <c r="N1" s="27" t="s">
        <v>152</v>
      </c>
      <c r="O1" s="28" t="s">
        <v>153</v>
      </c>
      <c r="P1" s="27" t="s">
        <v>88</v>
      </c>
    </row>
    <row r="2" spans="1:16">
      <c r="A2" s="25" t="str">
        <f>tblEntity[[#This Row],[Entity ID]]</f>
        <v>E-001</v>
      </c>
      <c r="B2" s="26" t="str">
        <f>tblEntity[[#This Row],[Entity Legal Name]]</f>
        <v>Symax Group Limited</v>
      </c>
      <c r="C2" s="17" t="s">
        <v>47</v>
      </c>
      <c r="E2" s="17" t="s">
        <v>40</v>
      </c>
      <c r="F2" s="19" t="s">
        <v>61</v>
      </c>
      <c r="G2" s="17" t="s">
        <v>271</v>
      </c>
      <c r="H2" s="33">
        <v>45930</v>
      </c>
      <c r="I2" s="33">
        <f t="shared" ref="I2:I12" si="0">IF(H2="","",EDATE(H2,IF(F2="Monthly",1,IF(F2="Quarterly",3,IF(F2="Semi-Annual",6,IF(F2="Annual",12,""))))))</f>
        <v>46295</v>
      </c>
      <c r="J2" s="17">
        <f t="shared" ref="J2:J12" ca="1" si="1">IF(I2="","",I2-TODAY())</f>
        <v>186</v>
      </c>
      <c r="K2" s="17" t="str">
        <f t="shared" ref="K2:K12" ca="1" si="2">IF(I2="","Missing",IF(J2&lt;0,"Overdue",IF(J2&lt;=30,"Due &lt;30d","On Track")))</f>
        <v>On Track</v>
      </c>
      <c r="L2" s="17" t="str">
        <f t="shared" ref="L2:L12" ca="1" si="3">IF(K2="Overdue","OVERDUE",IF(K2="Due &lt;30d","DUE SOON",""))</f>
        <v/>
      </c>
      <c r="M2" s="17" t="s">
        <v>29</v>
      </c>
      <c r="N2" s="17" t="s">
        <v>29</v>
      </c>
    </row>
    <row r="3" spans="1:16">
      <c r="A3" s="25" t="str">
        <f>tblEntity[[#This Row],[Entity ID]]</f>
        <v>E-002</v>
      </c>
      <c r="B3" s="26" t="str">
        <f>tblEntity[[#This Row],[Entity Legal Name]]</f>
        <v>Mycom Holding Limited</v>
      </c>
      <c r="F3" s="19"/>
      <c r="I3" s="33" t="str">
        <f t="shared" si="0"/>
        <v/>
      </c>
      <c r="J3" s="17" t="str">
        <f t="shared" ca="1" si="1"/>
        <v/>
      </c>
      <c r="K3" s="17" t="str">
        <f t="shared" si="2"/>
        <v>Missing</v>
      </c>
      <c r="L3" s="17" t="str">
        <f t="shared" si="3"/>
        <v/>
      </c>
    </row>
    <row r="4" spans="1:16">
      <c r="A4" s="25" t="str">
        <f>tblEntity[[#This Row],[Entity ID]]</f>
        <v>E-003</v>
      </c>
      <c r="B4" s="26" t="str">
        <f>tblEntity[[#This Row],[Entity Legal Name]]</f>
        <v>Amertaat Ltd.</v>
      </c>
      <c r="F4" s="19"/>
      <c r="I4" s="33" t="str">
        <f t="shared" si="0"/>
        <v/>
      </c>
      <c r="J4" s="17" t="str">
        <f t="shared" ca="1" si="1"/>
        <v/>
      </c>
      <c r="K4" s="17" t="str">
        <f t="shared" si="2"/>
        <v>Missing</v>
      </c>
      <c r="L4" s="17" t="str">
        <f t="shared" si="3"/>
        <v/>
      </c>
    </row>
    <row r="5" spans="1:16">
      <c r="A5" s="25" t="str">
        <f>tblEntity[[#This Row],[Entity ID]]</f>
        <v>E-004</v>
      </c>
      <c r="B5" s="26" t="str">
        <f>tblEntity[[#This Row],[Entity Legal Name]]</f>
        <v>One Media Tech Holding Inc.</v>
      </c>
      <c r="F5" s="19"/>
      <c r="I5" s="33" t="str">
        <f t="shared" si="0"/>
        <v/>
      </c>
      <c r="J5" s="17" t="str">
        <f t="shared" ca="1" si="1"/>
        <v/>
      </c>
      <c r="K5" s="17" t="str">
        <f t="shared" si="2"/>
        <v>Missing</v>
      </c>
      <c r="L5" s="17" t="str">
        <f t="shared" si="3"/>
        <v/>
      </c>
    </row>
    <row r="6" spans="1:16">
      <c r="A6" s="25" t="str">
        <f>tblEntity[[#This Row],[Entity ID]]</f>
        <v>E-005</v>
      </c>
      <c r="B6" s="26" t="str">
        <f>tblEntity[[#This Row],[Entity Legal Name]]</f>
        <v>Symax General Trading LLC</v>
      </c>
      <c r="F6" s="19"/>
      <c r="I6" s="33" t="str">
        <f t="shared" si="0"/>
        <v/>
      </c>
      <c r="J6" s="17" t="str">
        <f t="shared" ca="1" si="1"/>
        <v/>
      </c>
      <c r="K6" s="17" t="str">
        <f t="shared" si="2"/>
        <v>Missing</v>
      </c>
      <c r="L6" s="17" t="str">
        <f t="shared" si="3"/>
        <v/>
      </c>
    </row>
    <row r="7" spans="1:16">
      <c r="A7" s="25" t="str">
        <f>tblEntity[[#This Row],[Entity ID]]</f>
        <v>E-006</v>
      </c>
      <c r="B7" s="26" t="str">
        <f>tblEntity[[#This Row],[Entity Legal Name]]</f>
        <v>Symax Law FZCO</v>
      </c>
      <c r="F7" s="19"/>
      <c r="I7" s="33" t="str">
        <f t="shared" si="0"/>
        <v/>
      </c>
      <c r="J7" s="17" t="str">
        <f t="shared" ca="1" si="1"/>
        <v/>
      </c>
      <c r="K7" s="17" t="str">
        <f t="shared" si="2"/>
        <v>Missing</v>
      </c>
      <c r="L7" s="17" t="str">
        <f t="shared" si="3"/>
        <v/>
      </c>
    </row>
    <row r="8" spans="1:16">
      <c r="A8" s="25" t="str">
        <f>tblEntity[[#This Row],[Entity ID]]</f>
        <v>E-007</v>
      </c>
      <c r="B8" s="26" t="str">
        <f>tblEntity[[#This Row],[Entity Legal Name]]</f>
        <v>Z Prime Ltd</v>
      </c>
      <c r="F8" s="19"/>
      <c r="I8" s="33" t="str">
        <f t="shared" si="0"/>
        <v/>
      </c>
      <c r="J8" s="17" t="str">
        <f t="shared" ca="1" si="1"/>
        <v/>
      </c>
      <c r="K8" s="17" t="str">
        <f t="shared" si="2"/>
        <v>Missing</v>
      </c>
      <c r="L8" s="17" t="str">
        <f t="shared" si="3"/>
        <v/>
      </c>
    </row>
    <row r="9" spans="1:16">
      <c r="A9" s="25" t="str">
        <f>tblEntity[[#This Row],[Entity ID]]</f>
        <v>E-008</v>
      </c>
      <c r="B9" s="26" t="str">
        <f>tblEntity[[#This Row],[Entity Legal Name]]</f>
        <v>Z Prime GmbH</v>
      </c>
      <c r="F9" s="19"/>
      <c r="I9" s="33" t="str">
        <f t="shared" si="0"/>
        <v/>
      </c>
      <c r="J9" s="17" t="str">
        <f t="shared" ca="1" si="1"/>
        <v/>
      </c>
      <c r="K9" s="17" t="str">
        <f t="shared" si="2"/>
        <v>Missing</v>
      </c>
      <c r="L9" s="17" t="str">
        <f t="shared" si="3"/>
        <v/>
      </c>
    </row>
    <row r="10" spans="1:16">
      <c r="A10" s="25" t="str">
        <f>tblEntity[[#This Row],[Entity ID]]</f>
        <v>E-009</v>
      </c>
      <c r="B10" s="26" t="str">
        <f>tblEntity[[#This Row],[Entity Legal Name]]</f>
        <v>Amertaat Italia SRL</v>
      </c>
      <c r="F10" s="19"/>
      <c r="I10" s="33" t="str">
        <f t="shared" si="0"/>
        <v/>
      </c>
      <c r="J10" s="17" t="str">
        <f t="shared" ca="1" si="1"/>
        <v/>
      </c>
      <c r="K10" s="17" t="str">
        <f t="shared" si="2"/>
        <v>Missing</v>
      </c>
      <c r="L10" s="17" t="str">
        <f t="shared" si="3"/>
        <v/>
      </c>
    </row>
    <row r="11" spans="1:16">
      <c r="A11" s="25" t="str">
        <f>tblEntity[[#This Row],[Entity ID]]</f>
        <v>E-010</v>
      </c>
      <c r="B11" s="26" t="str">
        <f>tblEntity[[#This Row],[Entity Legal Name]]</f>
        <v>eJuno FZCO</v>
      </c>
      <c r="F11" s="19"/>
      <c r="I11" s="33" t="str">
        <f t="shared" si="0"/>
        <v/>
      </c>
      <c r="J11" s="17" t="str">
        <f t="shared" ca="1" si="1"/>
        <v/>
      </c>
      <c r="K11" s="17" t="str">
        <f t="shared" si="2"/>
        <v>Missing</v>
      </c>
      <c r="L11" s="17" t="str">
        <f t="shared" si="3"/>
        <v/>
      </c>
    </row>
    <row r="12" spans="1:16">
      <c r="A12" s="25" t="str">
        <f>tblEntity[[#This Row],[Entity ID]]</f>
        <v>E-011</v>
      </c>
      <c r="B12" s="26">
        <f>tblEntity[[#This Row],[Entity Legal Name]]</f>
        <v>0</v>
      </c>
      <c r="F12" s="19"/>
      <c r="I12" s="33" t="str">
        <f t="shared" si="0"/>
        <v/>
      </c>
      <c r="J12" s="17" t="str">
        <f t="shared" ca="1" si="1"/>
        <v/>
      </c>
      <c r="K12" s="17" t="str">
        <f t="shared" si="2"/>
        <v>Missing</v>
      </c>
      <c r="L12" s="17" t="str">
        <f t="shared" si="3"/>
        <v/>
      </c>
    </row>
  </sheetData>
  <conditionalFormatting sqref="G2:H2 E2:E12 M2:N12 G3:L12 E13:M1000">
    <cfRule type="expression" dxfId="7" priority="4">
      <formula>E2="Yes"</formula>
    </cfRule>
    <cfRule type="expression" dxfId="6" priority="5">
      <formula>E2="No"</formula>
    </cfRule>
  </conditionalFormatting>
  <conditionalFormatting sqref="K2">
    <cfRule type="expression" dxfId="5" priority="1">
      <formula>$L2="Overdue"</formula>
    </cfRule>
    <cfRule type="expression" dxfId="4" priority="2">
      <formula>$L2="Due &lt;30d"</formula>
    </cfRule>
    <cfRule type="expression" dxfId="3" priority="3">
      <formula>$L2="On Track"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8A4279-D6C6-4B1C-9919-33BD7AC44863}">
          <x14:formula1>
            <xm:f>Parameters!$A$3:$A$13</xm:f>
          </x14:formula1>
          <xm:sqref>C2:C12</xm:sqref>
        </x14:dataValidation>
        <x14:dataValidation type="list" allowBlank="1" showInputMessage="1" showErrorMessage="1" xr:uid="{AD96ABAB-9177-4202-AD29-0AD157D7FA56}">
          <x14:formula1>
            <xm:f>Parameters!$E$3:$E$5</xm:f>
          </x14:formula1>
          <xm:sqref>E2:E12 M2:N12</xm:sqref>
        </x14:dataValidation>
        <x14:dataValidation type="list" allowBlank="1" showInputMessage="1" showErrorMessage="1" xr:uid="{BC133BB9-15C8-43CA-9548-4D1F131C0B9A}">
          <x14:formula1>
            <xm:f>Parameters!$G$3:$G$8</xm:f>
          </x14:formula1>
          <xm:sqref>F2:F12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"/>
  <sheetViews>
    <sheetView showGridLines="0" topLeftCell="C1" workbookViewId="0">
      <pane ySplit="1" topLeftCell="A2" activePane="bottomLeft" state="frozen"/>
      <selection pane="bottomLeft" activeCell="E2" sqref="E2"/>
    </sheetView>
  </sheetViews>
  <sheetFormatPr defaultColWidth="8.81640625" defaultRowHeight="15.5"/>
  <cols>
    <col min="1" max="1" width="14.36328125" style="17" customWidth="1"/>
    <col min="2" max="2" width="29.90625" style="17" bestFit="1" customWidth="1"/>
    <col min="3" max="3" width="29.90625" style="17" customWidth="1"/>
    <col min="4" max="5" width="22.7265625" style="17" customWidth="1"/>
    <col min="6" max="6" width="25" style="17" customWidth="1"/>
    <col min="7" max="7" width="12.1796875" style="17" bestFit="1" customWidth="1"/>
    <col min="8" max="8" width="25" style="17" customWidth="1"/>
    <col min="10" max="16384" width="8.81640625" style="17"/>
  </cols>
  <sheetData>
    <row r="1" spans="1:9">
      <c r="A1" s="18" t="s">
        <v>79</v>
      </c>
      <c r="B1" s="18" t="s">
        <v>80</v>
      </c>
      <c r="C1" s="18" t="s">
        <v>236</v>
      </c>
      <c r="D1" s="18" t="s">
        <v>167</v>
      </c>
      <c r="E1" s="18" t="s">
        <v>284</v>
      </c>
      <c r="F1" s="18" t="s">
        <v>180</v>
      </c>
      <c r="G1" s="18" t="s">
        <v>137</v>
      </c>
      <c r="H1" s="18" t="s">
        <v>184</v>
      </c>
      <c r="I1" s="17"/>
    </row>
    <row r="2" spans="1:9">
      <c r="A2" s="25" t="str">
        <f>tblEntity[[#This Row],[Entity ID]]</f>
        <v>E-001</v>
      </c>
      <c r="B2" s="26" t="str">
        <f>tblEntity[[#This Row],[Entity Legal Name]]</f>
        <v>Symax Group Limited</v>
      </c>
      <c r="C2" s="29" t="s">
        <v>270</v>
      </c>
      <c r="F2" s="17" t="str">
        <f t="shared" ref="F2:F33" ca="1" si="0">IF(D2="","",D2-TODAY())</f>
        <v/>
      </c>
      <c r="G2" s="17" t="str">
        <f t="shared" ref="G2:G33" ca="1" si="1">IF(F2="","",IF(F2&lt;0,"EXPIRED",IF(F2&lt;=60,"RENEW &lt;60d","")))</f>
        <v/>
      </c>
      <c r="I2" s="17"/>
    </row>
    <row r="3" spans="1:9">
      <c r="A3" s="17" t="str">
        <f>tblEntity[[#This Row],[Entity ID]]</f>
        <v>E-002</v>
      </c>
      <c r="B3" s="17" t="str">
        <f>tblEntity[[#This Row],[Entity Legal Name]]</f>
        <v>Mycom Holding Limited</v>
      </c>
      <c r="F3" s="17" t="str">
        <f t="shared" ca="1" si="0"/>
        <v/>
      </c>
      <c r="G3" s="17" t="str">
        <f t="shared" ca="1" si="1"/>
        <v/>
      </c>
      <c r="I3" s="17"/>
    </row>
    <row r="4" spans="1:9">
      <c r="A4" s="17" t="str">
        <f>tblEntity[[#This Row],[Entity ID]]</f>
        <v>E-003</v>
      </c>
      <c r="B4" s="17" t="str">
        <f>tblEntity[[#This Row],[Entity Legal Name]]</f>
        <v>Amertaat Ltd.</v>
      </c>
      <c r="F4" s="17" t="str">
        <f t="shared" ca="1" si="0"/>
        <v/>
      </c>
      <c r="G4" s="17" t="str">
        <f t="shared" ca="1" si="1"/>
        <v/>
      </c>
      <c r="I4" s="17"/>
    </row>
    <row r="5" spans="1:9">
      <c r="A5" s="17" t="str">
        <f>tblEntity[[#This Row],[Entity ID]]</f>
        <v>E-004</v>
      </c>
      <c r="B5" s="17" t="str">
        <f>tblEntity[[#This Row],[Entity Legal Name]]</f>
        <v>One Media Tech Holding Inc.</v>
      </c>
      <c r="F5" s="17" t="str">
        <f t="shared" ca="1" si="0"/>
        <v/>
      </c>
      <c r="G5" s="17" t="str">
        <f t="shared" ca="1" si="1"/>
        <v/>
      </c>
      <c r="I5" s="17"/>
    </row>
    <row r="6" spans="1:9">
      <c r="A6" s="17" t="str">
        <f>tblEntity[[#This Row],[Entity ID]]</f>
        <v>E-005</v>
      </c>
      <c r="B6" s="17" t="str">
        <f>tblEntity[[#This Row],[Entity Legal Name]]</f>
        <v>Symax General Trading LLC</v>
      </c>
      <c r="F6" s="17" t="str">
        <f t="shared" ca="1" si="0"/>
        <v/>
      </c>
      <c r="G6" s="17" t="str">
        <f t="shared" ca="1" si="1"/>
        <v/>
      </c>
      <c r="I6" s="17"/>
    </row>
    <row r="7" spans="1:9">
      <c r="A7" s="17" t="str">
        <f>tblEntity[[#This Row],[Entity ID]]</f>
        <v>E-006</v>
      </c>
      <c r="B7" s="17" t="str">
        <f>tblEntity[[#This Row],[Entity Legal Name]]</f>
        <v>Symax Law FZCO</v>
      </c>
      <c r="F7" s="17" t="str">
        <f t="shared" ca="1" si="0"/>
        <v/>
      </c>
      <c r="G7" s="17" t="str">
        <f t="shared" ca="1" si="1"/>
        <v/>
      </c>
      <c r="I7" s="17"/>
    </row>
    <row r="8" spans="1:9">
      <c r="A8" s="17" t="str">
        <f>tblEntity[[#This Row],[Entity ID]]</f>
        <v>E-007</v>
      </c>
      <c r="B8" s="17" t="str">
        <f>tblEntity[[#This Row],[Entity Legal Name]]</f>
        <v>Z Prime Ltd</v>
      </c>
      <c r="F8" s="17" t="str">
        <f t="shared" ca="1" si="0"/>
        <v/>
      </c>
      <c r="G8" s="17" t="str">
        <f t="shared" ca="1" si="1"/>
        <v/>
      </c>
      <c r="I8" s="17"/>
    </row>
    <row r="9" spans="1:9">
      <c r="A9" s="17" t="str">
        <f>tblEntity[[#This Row],[Entity ID]]</f>
        <v>E-008</v>
      </c>
      <c r="B9" s="17" t="str">
        <f>tblEntity[[#This Row],[Entity Legal Name]]</f>
        <v>Z Prime GmbH</v>
      </c>
      <c r="F9" s="17" t="str">
        <f t="shared" ca="1" si="0"/>
        <v/>
      </c>
      <c r="G9" s="17" t="str">
        <f t="shared" ca="1" si="1"/>
        <v/>
      </c>
      <c r="I9" s="17"/>
    </row>
    <row r="10" spans="1:9">
      <c r="A10" s="17" t="str">
        <f>tblEntity[[#This Row],[Entity ID]]</f>
        <v>E-009</v>
      </c>
      <c r="B10" s="17" t="str">
        <f>tblEntity[[#This Row],[Entity Legal Name]]</f>
        <v>Amertaat Italia SRL</v>
      </c>
      <c r="F10" s="17" t="str">
        <f t="shared" ca="1" si="0"/>
        <v/>
      </c>
      <c r="G10" s="17" t="str">
        <f t="shared" ca="1" si="1"/>
        <v/>
      </c>
      <c r="I10" s="17"/>
    </row>
    <row r="11" spans="1:9">
      <c r="A11" s="17" t="str">
        <f>tblEntity[[#This Row],[Entity ID]]</f>
        <v>E-010</v>
      </c>
      <c r="B11" s="17" t="str">
        <f>tblEntity[[#This Row],[Entity Legal Name]]</f>
        <v>eJuno FZCO</v>
      </c>
      <c r="F11" s="17" t="str">
        <f t="shared" ca="1" si="0"/>
        <v/>
      </c>
      <c r="G11" s="17" t="str">
        <f t="shared" ca="1" si="1"/>
        <v/>
      </c>
      <c r="I11" s="17"/>
    </row>
    <row r="12" spans="1:9">
      <c r="A12" s="17" t="str">
        <f>tblEntity[[#This Row],[Entity ID]]</f>
        <v>E-011</v>
      </c>
      <c r="B12" s="17">
        <f>tblEntity[[#This Row],[Entity Legal Name]]</f>
        <v>0</v>
      </c>
      <c r="F12" s="17" t="str">
        <f t="shared" ca="1" si="0"/>
        <v/>
      </c>
      <c r="G12" s="17" t="str">
        <f t="shared" ca="1" si="1"/>
        <v/>
      </c>
      <c r="I12" s="17"/>
    </row>
    <row r="13" spans="1:9">
      <c r="A13" s="17">
        <f>tblEntity[[#This Row],[Entity ID]]</f>
        <v>0</v>
      </c>
      <c r="B13" s="17">
        <f>tblEntity[[#This Row],[Entity Legal Name]]</f>
        <v>0</v>
      </c>
      <c r="F13" s="17" t="str">
        <f t="shared" ca="1" si="0"/>
        <v/>
      </c>
      <c r="G13" s="17" t="str">
        <f t="shared" ca="1" si="1"/>
        <v/>
      </c>
      <c r="I13" s="17"/>
    </row>
    <row r="14" spans="1:9">
      <c r="A14" s="17">
        <f>tblEntity[[#This Row],[Entity ID]]</f>
        <v>0</v>
      </c>
      <c r="B14" s="17">
        <f>tblEntity[[#This Row],[Entity Legal Name]]</f>
        <v>0</v>
      </c>
      <c r="F14" s="17" t="str">
        <f t="shared" ca="1" si="0"/>
        <v/>
      </c>
      <c r="G14" s="17" t="str">
        <f t="shared" ca="1" si="1"/>
        <v/>
      </c>
      <c r="I14" s="17"/>
    </row>
    <row r="15" spans="1:9">
      <c r="A15" s="17">
        <f>tblEntity[[#This Row],[Entity ID]]</f>
        <v>0</v>
      </c>
      <c r="B15" s="17">
        <f>tblEntity[[#This Row],[Entity Legal Name]]</f>
        <v>0</v>
      </c>
      <c r="F15" s="17" t="str">
        <f t="shared" ca="1" si="0"/>
        <v/>
      </c>
      <c r="G15" s="17" t="str">
        <f t="shared" ca="1" si="1"/>
        <v/>
      </c>
      <c r="I15" s="17"/>
    </row>
    <row r="16" spans="1:9">
      <c r="A16" s="17">
        <f>tblEntity[[#This Row],[Entity ID]]</f>
        <v>0</v>
      </c>
      <c r="B16" s="17">
        <f>tblEntity[[#This Row],[Entity Legal Name]]</f>
        <v>0</v>
      </c>
      <c r="F16" s="17" t="str">
        <f t="shared" ca="1" si="0"/>
        <v/>
      </c>
      <c r="G16" s="17" t="str">
        <f t="shared" ca="1" si="1"/>
        <v/>
      </c>
      <c r="I16" s="17"/>
    </row>
    <row r="17" spans="1:9">
      <c r="A17" s="17">
        <f>tblEntity[[#This Row],[Entity ID]]</f>
        <v>0</v>
      </c>
      <c r="B17" s="17">
        <f>tblEntity[[#This Row],[Entity Legal Name]]</f>
        <v>0</v>
      </c>
      <c r="F17" s="17" t="str">
        <f t="shared" ca="1" si="0"/>
        <v/>
      </c>
      <c r="G17" s="17" t="str">
        <f t="shared" ca="1" si="1"/>
        <v/>
      </c>
      <c r="I17" s="17"/>
    </row>
    <row r="18" spans="1:9">
      <c r="A18" s="17">
        <f>tblEntity[[#This Row],[Entity ID]]</f>
        <v>0</v>
      </c>
      <c r="B18" s="17">
        <f>tblEntity[[#This Row],[Entity Legal Name]]</f>
        <v>0</v>
      </c>
      <c r="F18" s="17" t="str">
        <f t="shared" ca="1" si="0"/>
        <v/>
      </c>
      <c r="G18" s="17" t="str">
        <f t="shared" ca="1" si="1"/>
        <v/>
      </c>
      <c r="I18" s="17"/>
    </row>
    <row r="19" spans="1:9">
      <c r="A19" s="17">
        <f>tblEntity[[#This Row],[Entity ID]]</f>
        <v>0</v>
      </c>
      <c r="B19" s="17">
        <f>tblEntity[[#This Row],[Entity Legal Name]]</f>
        <v>0</v>
      </c>
      <c r="F19" s="17" t="str">
        <f t="shared" ca="1" si="0"/>
        <v/>
      </c>
      <c r="G19" s="17" t="str">
        <f t="shared" ca="1" si="1"/>
        <v/>
      </c>
      <c r="I19" s="17"/>
    </row>
    <row r="20" spans="1:9">
      <c r="A20" s="17">
        <f>tblEntity[[#This Row],[Entity ID]]</f>
        <v>0</v>
      </c>
      <c r="B20" s="17">
        <f>tblEntity[[#This Row],[Entity Legal Name]]</f>
        <v>0</v>
      </c>
      <c r="F20" s="17" t="str">
        <f t="shared" ca="1" si="0"/>
        <v/>
      </c>
      <c r="G20" s="17" t="str">
        <f t="shared" ca="1" si="1"/>
        <v/>
      </c>
      <c r="I20" s="17"/>
    </row>
    <row r="21" spans="1:9">
      <c r="A21" s="17">
        <f>tblEntity[[#This Row],[Entity ID]]</f>
        <v>0</v>
      </c>
      <c r="B21" s="17">
        <f>tblEntity[[#This Row],[Entity Legal Name]]</f>
        <v>0</v>
      </c>
      <c r="F21" s="17" t="str">
        <f t="shared" ca="1" si="0"/>
        <v/>
      </c>
      <c r="G21" s="17" t="str">
        <f t="shared" ca="1" si="1"/>
        <v/>
      </c>
      <c r="I21" s="17"/>
    </row>
    <row r="22" spans="1:9">
      <c r="A22" s="17">
        <f>tblEntity[[#This Row],[Entity ID]]</f>
        <v>0</v>
      </c>
      <c r="B22" s="17">
        <f>tblEntity[[#This Row],[Entity Legal Name]]</f>
        <v>0</v>
      </c>
      <c r="F22" s="17" t="str">
        <f t="shared" ca="1" si="0"/>
        <v/>
      </c>
      <c r="G22" s="17" t="str">
        <f t="shared" ca="1" si="1"/>
        <v/>
      </c>
      <c r="I22" s="17"/>
    </row>
    <row r="23" spans="1:9">
      <c r="A23" s="17">
        <f>tblEntity[[#This Row],[Entity ID]]</f>
        <v>0</v>
      </c>
      <c r="B23" s="17">
        <f>tblEntity[[#This Row],[Entity Legal Name]]</f>
        <v>0</v>
      </c>
      <c r="F23" s="17" t="str">
        <f t="shared" ca="1" si="0"/>
        <v/>
      </c>
      <c r="G23" s="17" t="str">
        <f t="shared" ca="1" si="1"/>
        <v/>
      </c>
      <c r="I23" s="17"/>
    </row>
    <row r="24" spans="1:9">
      <c r="A24" s="17">
        <f>tblEntity[[#This Row],[Entity ID]]</f>
        <v>0</v>
      </c>
      <c r="B24" s="17">
        <f>tblEntity[[#This Row],[Entity Legal Name]]</f>
        <v>0</v>
      </c>
      <c r="F24" s="17" t="str">
        <f t="shared" ca="1" si="0"/>
        <v/>
      </c>
      <c r="G24" s="17" t="str">
        <f t="shared" ca="1" si="1"/>
        <v/>
      </c>
      <c r="I24" s="17"/>
    </row>
    <row r="25" spans="1:9">
      <c r="A25" s="17">
        <f>tblEntity[[#This Row],[Entity ID]]</f>
        <v>0</v>
      </c>
      <c r="B25" s="17">
        <f>tblEntity[[#This Row],[Entity Legal Name]]</f>
        <v>0</v>
      </c>
      <c r="F25" s="17" t="str">
        <f t="shared" ca="1" si="0"/>
        <v/>
      </c>
      <c r="G25" s="17" t="str">
        <f t="shared" ca="1" si="1"/>
        <v/>
      </c>
      <c r="I25" s="17"/>
    </row>
    <row r="26" spans="1:9">
      <c r="A26" s="17">
        <f>tblEntity[[#This Row],[Entity ID]]</f>
        <v>0</v>
      </c>
      <c r="B26" s="17">
        <f>tblEntity[[#This Row],[Entity Legal Name]]</f>
        <v>0</v>
      </c>
      <c r="F26" s="17" t="str">
        <f t="shared" ca="1" si="0"/>
        <v/>
      </c>
      <c r="G26" s="17" t="str">
        <f t="shared" ca="1" si="1"/>
        <v/>
      </c>
      <c r="I26" s="17"/>
    </row>
    <row r="27" spans="1:9">
      <c r="A27" s="17">
        <f>tblEntity[[#This Row],[Entity ID]]</f>
        <v>0</v>
      </c>
      <c r="B27" s="17">
        <f>tblEntity[[#This Row],[Entity Legal Name]]</f>
        <v>0</v>
      </c>
      <c r="F27" s="17" t="str">
        <f t="shared" ca="1" si="0"/>
        <v/>
      </c>
      <c r="G27" s="17" t="str">
        <f t="shared" ca="1" si="1"/>
        <v/>
      </c>
      <c r="I27" s="17"/>
    </row>
    <row r="28" spans="1:9">
      <c r="A28" s="17">
        <f>tblEntity[[#This Row],[Entity ID]]</f>
        <v>0</v>
      </c>
      <c r="B28" s="17">
        <f>tblEntity[[#This Row],[Entity Legal Name]]</f>
        <v>0</v>
      </c>
      <c r="F28" s="17" t="str">
        <f t="shared" ca="1" si="0"/>
        <v/>
      </c>
      <c r="G28" s="17" t="str">
        <f t="shared" ca="1" si="1"/>
        <v/>
      </c>
      <c r="I28" s="17"/>
    </row>
    <row r="29" spans="1:9">
      <c r="A29" s="17">
        <f>tblEntity[[#This Row],[Entity ID]]</f>
        <v>0</v>
      </c>
      <c r="B29" s="17">
        <f>tblEntity[[#This Row],[Entity Legal Name]]</f>
        <v>0</v>
      </c>
      <c r="F29" s="17" t="str">
        <f t="shared" ca="1" si="0"/>
        <v/>
      </c>
      <c r="G29" s="17" t="str">
        <f t="shared" ca="1" si="1"/>
        <v/>
      </c>
      <c r="I29" s="17"/>
    </row>
    <row r="30" spans="1:9">
      <c r="A30" s="17">
        <f>tblEntity[[#This Row],[Entity ID]]</f>
        <v>0</v>
      </c>
      <c r="B30" s="17">
        <f>tblEntity[[#This Row],[Entity Legal Name]]</f>
        <v>0</v>
      </c>
      <c r="F30" s="17" t="str">
        <f t="shared" ca="1" si="0"/>
        <v/>
      </c>
      <c r="G30" s="17" t="str">
        <f t="shared" ca="1" si="1"/>
        <v/>
      </c>
      <c r="I30" s="17"/>
    </row>
    <row r="31" spans="1:9">
      <c r="A31" s="17">
        <f>tblEntity[[#This Row],[Entity ID]]</f>
        <v>0</v>
      </c>
      <c r="B31" s="17">
        <f>tblEntity[[#This Row],[Entity Legal Name]]</f>
        <v>0</v>
      </c>
      <c r="F31" s="17" t="str">
        <f t="shared" ca="1" si="0"/>
        <v/>
      </c>
      <c r="G31" s="17" t="str">
        <f t="shared" ca="1" si="1"/>
        <v/>
      </c>
      <c r="I31" s="17"/>
    </row>
    <row r="32" spans="1:9">
      <c r="A32" s="17">
        <f>tblEntity[[#This Row],[Entity ID]]</f>
        <v>0</v>
      </c>
      <c r="B32" s="17">
        <f>tblEntity[[#This Row],[Entity Legal Name]]</f>
        <v>0</v>
      </c>
      <c r="F32" s="17" t="str">
        <f t="shared" ca="1" si="0"/>
        <v/>
      </c>
      <c r="G32" s="17" t="str">
        <f t="shared" ca="1" si="1"/>
        <v/>
      </c>
      <c r="I32" s="17"/>
    </row>
    <row r="33" spans="1:9">
      <c r="A33" s="17">
        <f>tblEntity[[#This Row],[Entity ID]]</f>
        <v>0</v>
      </c>
      <c r="B33" s="17">
        <f>tblEntity[[#This Row],[Entity Legal Name]]</f>
        <v>0</v>
      </c>
      <c r="F33" s="17" t="str">
        <f t="shared" ca="1" si="0"/>
        <v/>
      </c>
      <c r="G33" s="17" t="str">
        <f t="shared" ca="1" si="1"/>
        <v/>
      </c>
      <c r="I33" s="17"/>
    </row>
    <row r="34" spans="1:9">
      <c r="A34" s="17">
        <f>tblEntity[[#This Row],[Entity ID]]</f>
        <v>0</v>
      </c>
      <c r="B34" s="17">
        <f>tblEntity[[#This Row],[Entity Legal Name]]</f>
        <v>0</v>
      </c>
      <c r="F34" s="17" t="str">
        <f t="shared" ref="F34:F65" ca="1" si="2">IF(D34="","",D34-TODAY())</f>
        <v/>
      </c>
      <c r="G34" s="17" t="str">
        <f t="shared" ref="G34:G65" ca="1" si="3">IF(F34="","",IF(F34&lt;0,"EXPIRED",IF(F34&lt;=60,"RENEW &lt;60d","")))</f>
        <v/>
      </c>
      <c r="I34" s="17"/>
    </row>
    <row r="35" spans="1:9">
      <c r="A35" s="17">
        <f>tblEntity[[#This Row],[Entity ID]]</f>
        <v>0</v>
      </c>
      <c r="B35" s="17">
        <f>tblEntity[[#This Row],[Entity Legal Name]]</f>
        <v>0</v>
      </c>
      <c r="F35" s="17" t="str">
        <f t="shared" ca="1" si="2"/>
        <v/>
      </c>
      <c r="G35" s="17" t="str">
        <f t="shared" ca="1" si="3"/>
        <v/>
      </c>
      <c r="I35" s="17"/>
    </row>
    <row r="36" spans="1:9">
      <c r="A36" s="17">
        <f>tblEntity[[#This Row],[Entity ID]]</f>
        <v>0</v>
      </c>
      <c r="B36" s="17">
        <f>tblEntity[[#This Row],[Entity Legal Name]]</f>
        <v>0</v>
      </c>
      <c r="F36" s="17" t="str">
        <f t="shared" ca="1" si="2"/>
        <v/>
      </c>
      <c r="G36" s="17" t="str">
        <f t="shared" ca="1" si="3"/>
        <v/>
      </c>
      <c r="I36" s="17"/>
    </row>
    <row r="37" spans="1:9">
      <c r="A37" s="17">
        <f>tblEntity[[#This Row],[Entity ID]]</f>
        <v>0</v>
      </c>
      <c r="B37" s="17">
        <f>tblEntity[[#This Row],[Entity Legal Name]]</f>
        <v>0</v>
      </c>
      <c r="F37" s="17" t="str">
        <f t="shared" ca="1" si="2"/>
        <v/>
      </c>
      <c r="G37" s="17" t="str">
        <f t="shared" ca="1" si="3"/>
        <v/>
      </c>
      <c r="I37" s="17"/>
    </row>
    <row r="38" spans="1:9">
      <c r="A38" s="17">
        <f>tblEntity[[#This Row],[Entity ID]]</f>
        <v>0</v>
      </c>
      <c r="B38" s="17">
        <f>tblEntity[[#This Row],[Entity Legal Name]]</f>
        <v>0</v>
      </c>
      <c r="F38" s="17" t="str">
        <f t="shared" ca="1" si="2"/>
        <v/>
      </c>
      <c r="G38" s="17" t="str">
        <f t="shared" ca="1" si="3"/>
        <v/>
      </c>
      <c r="I38" s="17"/>
    </row>
    <row r="39" spans="1:9">
      <c r="A39" s="17">
        <f>tblEntity[[#This Row],[Entity ID]]</f>
        <v>0</v>
      </c>
      <c r="B39" s="17">
        <f>tblEntity[[#This Row],[Entity Legal Name]]</f>
        <v>0</v>
      </c>
      <c r="F39" s="17" t="str">
        <f t="shared" ca="1" si="2"/>
        <v/>
      </c>
      <c r="G39" s="17" t="str">
        <f t="shared" ca="1" si="3"/>
        <v/>
      </c>
      <c r="I39" s="17"/>
    </row>
    <row r="40" spans="1:9">
      <c r="A40" s="17">
        <f>tblEntity[[#This Row],[Entity ID]]</f>
        <v>0</v>
      </c>
      <c r="B40" s="17">
        <f>tblEntity[[#This Row],[Entity Legal Name]]</f>
        <v>0</v>
      </c>
      <c r="F40" s="17" t="str">
        <f t="shared" ca="1" si="2"/>
        <v/>
      </c>
      <c r="G40" s="17" t="str">
        <f t="shared" ca="1" si="3"/>
        <v/>
      </c>
      <c r="I40" s="17"/>
    </row>
    <row r="41" spans="1:9">
      <c r="A41" s="17">
        <f>tblEntity[[#This Row],[Entity ID]]</f>
        <v>0</v>
      </c>
      <c r="B41" s="17">
        <f>tblEntity[[#This Row],[Entity Legal Name]]</f>
        <v>0</v>
      </c>
      <c r="F41" s="17" t="str">
        <f t="shared" ca="1" si="2"/>
        <v/>
      </c>
      <c r="G41" s="17" t="str">
        <f t="shared" ca="1" si="3"/>
        <v/>
      </c>
      <c r="I41" s="17"/>
    </row>
    <row r="42" spans="1:9">
      <c r="A42" s="17">
        <f>tblEntity[[#This Row],[Entity ID]]</f>
        <v>0</v>
      </c>
      <c r="B42" s="17">
        <f>tblEntity[[#This Row],[Entity Legal Name]]</f>
        <v>0</v>
      </c>
      <c r="F42" s="17" t="str">
        <f t="shared" ca="1" si="2"/>
        <v/>
      </c>
      <c r="G42" s="17" t="str">
        <f t="shared" ca="1" si="3"/>
        <v/>
      </c>
      <c r="I42" s="17"/>
    </row>
    <row r="43" spans="1:9">
      <c r="A43" s="17">
        <f>tblEntity[[#This Row],[Entity ID]]</f>
        <v>0</v>
      </c>
      <c r="B43" s="17">
        <f>tblEntity[[#This Row],[Entity Legal Name]]</f>
        <v>0</v>
      </c>
      <c r="F43" s="17" t="str">
        <f t="shared" ca="1" si="2"/>
        <v/>
      </c>
      <c r="G43" s="17" t="str">
        <f t="shared" ca="1" si="3"/>
        <v/>
      </c>
      <c r="I43" s="17"/>
    </row>
    <row r="44" spans="1:9">
      <c r="A44" s="17">
        <f>tblEntity[[#This Row],[Entity ID]]</f>
        <v>0</v>
      </c>
      <c r="B44" s="17">
        <f>tblEntity[[#This Row],[Entity Legal Name]]</f>
        <v>0</v>
      </c>
      <c r="F44" s="17" t="str">
        <f t="shared" ca="1" si="2"/>
        <v/>
      </c>
      <c r="G44" s="17" t="str">
        <f t="shared" ca="1" si="3"/>
        <v/>
      </c>
      <c r="I44" s="17"/>
    </row>
    <row r="45" spans="1:9">
      <c r="A45" s="17">
        <f>tblEntity[[#This Row],[Entity ID]]</f>
        <v>0</v>
      </c>
      <c r="B45" s="17">
        <f>tblEntity[[#This Row],[Entity Legal Name]]</f>
        <v>0</v>
      </c>
      <c r="F45" s="17" t="str">
        <f t="shared" ca="1" si="2"/>
        <v/>
      </c>
      <c r="G45" s="17" t="str">
        <f t="shared" ca="1" si="3"/>
        <v/>
      </c>
      <c r="I45" s="17"/>
    </row>
    <row r="46" spans="1:9">
      <c r="A46" s="17">
        <f>tblEntity[[#This Row],[Entity ID]]</f>
        <v>0</v>
      </c>
      <c r="B46" s="17">
        <f>tblEntity[[#This Row],[Entity Legal Name]]</f>
        <v>0</v>
      </c>
      <c r="F46" s="17" t="str">
        <f t="shared" ca="1" si="2"/>
        <v/>
      </c>
      <c r="G46" s="17" t="str">
        <f t="shared" ca="1" si="3"/>
        <v/>
      </c>
      <c r="I46" s="17"/>
    </row>
    <row r="47" spans="1:9">
      <c r="A47" s="17">
        <f>tblEntity[[#This Row],[Entity ID]]</f>
        <v>0</v>
      </c>
      <c r="B47" s="17">
        <f>tblEntity[[#This Row],[Entity Legal Name]]</f>
        <v>0</v>
      </c>
      <c r="F47" s="17" t="str">
        <f t="shared" ca="1" si="2"/>
        <v/>
      </c>
      <c r="G47" s="17" t="str">
        <f t="shared" ca="1" si="3"/>
        <v/>
      </c>
      <c r="I47" s="17"/>
    </row>
    <row r="48" spans="1:9">
      <c r="A48" s="17">
        <f>tblEntity[[#This Row],[Entity ID]]</f>
        <v>0</v>
      </c>
      <c r="B48" s="17">
        <f>tblEntity[[#This Row],[Entity Legal Name]]</f>
        <v>0</v>
      </c>
      <c r="F48" s="17" t="str">
        <f t="shared" ca="1" si="2"/>
        <v/>
      </c>
      <c r="G48" s="17" t="str">
        <f t="shared" ca="1" si="3"/>
        <v/>
      </c>
      <c r="I48" s="17"/>
    </row>
    <row r="49" spans="1:9">
      <c r="A49" s="17">
        <f>tblEntity[[#This Row],[Entity ID]]</f>
        <v>0</v>
      </c>
      <c r="B49" s="17">
        <f>tblEntity[[#This Row],[Entity Legal Name]]</f>
        <v>0</v>
      </c>
      <c r="F49" s="17" t="str">
        <f t="shared" ca="1" si="2"/>
        <v/>
      </c>
      <c r="G49" s="17" t="str">
        <f t="shared" ca="1" si="3"/>
        <v/>
      </c>
      <c r="I49" s="17"/>
    </row>
    <row r="50" spans="1:9">
      <c r="A50" s="17">
        <f>tblEntity[[#This Row],[Entity ID]]</f>
        <v>0</v>
      </c>
      <c r="B50" s="17">
        <f>tblEntity[[#This Row],[Entity Legal Name]]</f>
        <v>0</v>
      </c>
      <c r="F50" s="17" t="str">
        <f t="shared" ca="1" si="2"/>
        <v/>
      </c>
      <c r="G50" s="17" t="str">
        <f t="shared" ca="1" si="3"/>
        <v/>
      </c>
      <c r="I50" s="17"/>
    </row>
    <row r="51" spans="1:9">
      <c r="A51" s="17">
        <f>tblEntity[[#This Row],[Entity ID]]</f>
        <v>0</v>
      </c>
      <c r="B51" s="17">
        <f>tblEntity[[#This Row],[Entity Legal Name]]</f>
        <v>0</v>
      </c>
      <c r="F51" s="17" t="str">
        <f t="shared" ca="1" si="2"/>
        <v/>
      </c>
      <c r="G51" s="17" t="str">
        <f t="shared" ca="1" si="3"/>
        <v/>
      </c>
      <c r="I51" s="17"/>
    </row>
    <row r="52" spans="1:9">
      <c r="A52" s="17">
        <f>tblEntity[[#This Row],[Entity ID]]</f>
        <v>0</v>
      </c>
      <c r="B52" s="17">
        <f>tblEntity[[#This Row],[Entity Legal Name]]</f>
        <v>0</v>
      </c>
      <c r="F52" s="17" t="str">
        <f t="shared" ca="1" si="2"/>
        <v/>
      </c>
      <c r="G52" s="17" t="str">
        <f t="shared" ca="1" si="3"/>
        <v/>
      </c>
      <c r="I52" s="17"/>
    </row>
    <row r="53" spans="1:9">
      <c r="A53" s="17">
        <f>tblEntity[[#This Row],[Entity ID]]</f>
        <v>0</v>
      </c>
      <c r="B53" s="17">
        <f>tblEntity[[#This Row],[Entity Legal Name]]</f>
        <v>0</v>
      </c>
      <c r="F53" s="17" t="str">
        <f t="shared" ca="1" si="2"/>
        <v/>
      </c>
      <c r="G53" s="17" t="str">
        <f t="shared" ca="1" si="3"/>
        <v/>
      </c>
      <c r="I53" s="17"/>
    </row>
    <row r="54" spans="1:9">
      <c r="A54" s="17">
        <f>tblEntity[[#This Row],[Entity ID]]</f>
        <v>0</v>
      </c>
      <c r="B54" s="17">
        <f>tblEntity[[#This Row],[Entity Legal Name]]</f>
        <v>0</v>
      </c>
      <c r="F54" s="17" t="str">
        <f t="shared" ca="1" si="2"/>
        <v/>
      </c>
      <c r="G54" s="17" t="str">
        <f t="shared" ca="1" si="3"/>
        <v/>
      </c>
      <c r="I54" s="17"/>
    </row>
    <row r="55" spans="1:9">
      <c r="A55" s="17">
        <f>tblEntity[[#This Row],[Entity ID]]</f>
        <v>0</v>
      </c>
      <c r="B55" s="17">
        <f>tblEntity[[#This Row],[Entity Legal Name]]</f>
        <v>0</v>
      </c>
      <c r="F55" s="17" t="str">
        <f t="shared" ca="1" si="2"/>
        <v/>
      </c>
      <c r="G55" s="17" t="str">
        <f t="shared" ca="1" si="3"/>
        <v/>
      </c>
      <c r="I55" s="17"/>
    </row>
    <row r="56" spans="1:9">
      <c r="A56" s="17">
        <f>tblEntity[[#This Row],[Entity ID]]</f>
        <v>0</v>
      </c>
      <c r="B56" s="17">
        <f>tblEntity[[#This Row],[Entity Legal Name]]</f>
        <v>0</v>
      </c>
      <c r="F56" s="17" t="str">
        <f t="shared" ca="1" si="2"/>
        <v/>
      </c>
      <c r="G56" s="17" t="str">
        <f t="shared" ca="1" si="3"/>
        <v/>
      </c>
      <c r="I56" s="17"/>
    </row>
    <row r="57" spans="1:9">
      <c r="A57" s="17">
        <f>tblEntity[[#This Row],[Entity ID]]</f>
        <v>0</v>
      </c>
      <c r="B57" s="17">
        <f>tblEntity[[#This Row],[Entity Legal Name]]</f>
        <v>0</v>
      </c>
      <c r="F57" s="17" t="str">
        <f t="shared" ca="1" si="2"/>
        <v/>
      </c>
      <c r="G57" s="17" t="str">
        <f t="shared" ca="1" si="3"/>
        <v/>
      </c>
      <c r="I57" s="17"/>
    </row>
    <row r="58" spans="1:9">
      <c r="A58" s="17">
        <f>tblEntity[[#This Row],[Entity ID]]</f>
        <v>0</v>
      </c>
      <c r="B58" s="17">
        <f>tblEntity[[#This Row],[Entity Legal Name]]</f>
        <v>0</v>
      </c>
      <c r="F58" s="17" t="str">
        <f t="shared" ca="1" si="2"/>
        <v/>
      </c>
      <c r="G58" s="17" t="str">
        <f t="shared" ca="1" si="3"/>
        <v/>
      </c>
      <c r="I58" s="17"/>
    </row>
    <row r="59" spans="1:9">
      <c r="A59" s="17">
        <f>tblEntity[[#This Row],[Entity ID]]</f>
        <v>0</v>
      </c>
      <c r="B59" s="17">
        <f>tblEntity[[#This Row],[Entity Legal Name]]</f>
        <v>0</v>
      </c>
      <c r="F59" s="17" t="str">
        <f t="shared" ca="1" si="2"/>
        <v/>
      </c>
      <c r="G59" s="17" t="str">
        <f t="shared" ca="1" si="3"/>
        <v/>
      </c>
      <c r="I59" s="17"/>
    </row>
    <row r="60" spans="1:9">
      <c r="A60" s="17">
        <f>tblEntity[[#This Row],[Entity ID]]</f>
        <v>0</v>
      </c>
      <c r="B60" s="17">
        <f>tblEntity[[#This Row],[Entity Legal Name]]</f>
        <v>0</v>
      </c>
      <c r="F60" s="17" t="str">
        <f t="shared" ca="1" si="2"/>
        <v/>
      </c>
      <c r="G60" s="17" t="str">
        <f t="shared" ca="1" si="3"/>
        <v/>
      </c>
      <c r="I60" s="17"/>
    </row>
    <row r="61" spans="1:9">
      <c r="A61" s="17">
        <f>tblEntity[[#This Row],[Entity ID]]</f>
        <v>0</v>
      </c>
      <c r="B61" s="17">
        <f>tblEntity[[#This Row],[Entity Legal Name]]</f>
        <v>0</v>
      </c>
      <c r="F61" s="17" t="str">
        <f t="shared" ca="1" si="2"/>
        <v/>
      </c>
      <c r="G61" s="17" t="str">
        <f t="shared" ca="1" si="3"/>
        <v/>
      </c>
      <c r="I61" s="17"/>
    </row>
    <row r="62" spans="1:9">
      <c r="A62" s="17">
        <f>tblEntity[[#This Row],[Entity ID]]</f>
        <v>0</v>
      </c>
      <c r="B62" s="17">
        <f>tblEntity[[#This Row],[Entity Legal Name]]</f>
        <v>0</v>
      </c>
      <c r="F62" s="17" t="str">
        <f t="shared" ca="1" si="2"/>
        <v/>
      </c>
      <c r="G62" s="17" t="str">
        <f t="shared" ca="1" si="3"/>
        <v/>
      </c>
      <c r="I62" s="17"/>
    </row>
    <row r="63" spans="1:9">
      <c r="A63" s="17">
        <f>tblEntity[[#This Row],[Entity ID]]</f>
        <v>0</v>
      </c>
      <c r="B63" s="17">
        <f>tblEntity[[#This Row],[Entity Legal Name]]</f>
        <v>0</v>
      </c>
      <c r="F63" s="17" t="str">
        <f t="shared" ca="1" si="2"/>
        <v/>
      </c>
      <c r="G63" s="17" t="str">
        <f t="shared" ca="1" si="3"/>
        <v/>
      </c>
      <c r="I63" s="17"/>
    </row>
    <row r="64" spans="1:9">
      <c r="A64" s="17">
        <f>tblEntity[[#This Row],[Entity ID]]</f>
        <v>0</v>
      </c>
      <c r="B64" s="17">
        <f>tblEntity[[#This Row],[Entity Legal Name]]</f>
        <v>0</v>
      </c>
      <c r="F64" s="17" t="str">
        <f t="shared" ca="1" si="2"/>
        <v/>
      </c>
      <c r="G64" s="17" t="str">
        <f t="shared" ca="1" si="3"/>
        <v/>
      </c>
      <c r="I64" s="17"/>
    </row>
    <row r="65" spans="1:9">
      <c r="A65" s="17">
        <f>tblEntity[[#This Row],[Entity ID]]</f>
        <v>0</v>
      </c>
      <c r="B65" s="17">
        <f>tblEntity[[#This Row],[Entity Legal Name]]</f>
        <v>0</v>
      </c>
      <c r="F65" s="17" t="str">
        <f t="shared" ca="1" si="2"/>
        <v/>
      </c>
      <c r="G65" s="17" t="str">
        <f t="shared" ca="1" si="3"/>
        <v/>
      </c>
      <c r="I65" s="17"/>
    </row>
    <row r="66" spans="1:9">
      <c r="A66" s="17">
        <f>tblEntity[[#This Row],[Entity ID]]</f>
        <v>0</v>
      </c>
      <c r="B66" s="17">
        <f>tblEntity[[#This Row],[Entity Legal Name]]</f>
        <v>0</v>
      </c>
      <c r="F66" s="17" t="str">
        <f t="shared" ref="F66:F97" ca="1" si="4">IF(D66="","",D66-TODAY())</f>
        <v/>
      </c>
      <c r="G66" s="17" t="str">
        <f t="shared" ref="G66:G97" ca="1" si="5">IF(F66="","",IF(F66&lt;0,"EXPIRED",IF(F66&lt;=60,"RENEW &lt;60d","")))</f>
        <v/>
      </c>
      <c r="I66" s="17"/>
    </row>
    <row r="67" spans="1:9">
      <c r="A67" s="17">
        <f>tblEntity[[#This Row],[Entity ID]]</f>
        <v>0</v>
      </c>
      <c r="B67" s="17">
        <f>tblEntity[[#This Row],[Entity Legal Name]]</f>
        <v>0</v>
      </c>
      <c r="F67" s="17" t="str">
        <f t="shared" ca="1" si="4"/>
        <v/>
      </c>
      <c r="G67" s="17" t="str">
        <f t="shared" ca="1" si="5"/>
        <v/>
      </c>
      <c r="I67" s="17"/>
    </row>
    <row r="68" spans="1:9">
      <c r="A68" s="17">
        <f>tblEntity[[#This Row],[Entity ID]]</f>
        <v>0</v>
      </c>
      <c r="B68" s="17">
        <f>tblEntity[[#This Row],[Entity Legal Name]]</f>
        <v>0</v>
      </c>
      <c r="F68" s="17" t="str">
        <f t="shared" ca="1" si="4"/>
        <v/>
      </c>
      <c r="G68" s="17" t="str">
        <f t="shared" ca="1" si="5"/>
        <v/>
      </c>
      <c r="I68" s="17"/>
    </row>
    <row r="69" spans="1:9">
      <c r="A69" s="17">
        <f>tblEntity[[#This Row],[Entity ID]]</f>
        <v>0</v>
      </c>
      <c r="B69" s="17">
        <f>tblEntity[[#This Row],[Entity Legal Name]]</f>
        <v>0</v>
      </c>
      <c r="F69" s="17" t="str">
        <f t="shared" ca="1" si="4"/>
        <v/>
      </c>
      <c r="G69" s="17" t="str">
        <f t="shared" ca="1" si="5"/>
        <v/>
      </c>
      <c r="I69" s="17"/>
    </row>
    <row r="70" spans="1:9">
      <c r="A70" s="17">
        <f>tblEntity[[#This Row],[Entity ID]]</f>
        <v>0</v>
      </c>
      <c r="B70" s="17">
        <f>tblEntity[[#This Row],[Entity Legal Name]]</f>
        <v>0</v>
      </c>
      <c r="F70" s="17" t="str">
        <f t="shared" ca="1" si="4"/>
        <v/>
      </c>
      <c r="G70" s="17" t="str">
        <f t="shared" ca="1" si="5"/>
        <v/>
      </c>
      <c r="I70" s="17"/>
    </row>
    <row r="71" spans="1:9">
      <c r="A71" s="17">
        <f>tblEntity[[#This Row],[Entity ID]]</f>
        <v>0</v>
      </c>
      <c r="B71" s="17">
        <f>tblEntity[[#This Row],[Entity Legal Name]]</f>
        <v>0</v>
      </c>
      <c r="F71" s="17" t="str">
        <f t="shared" ca="1" si="4"/>
        <v/>
      </c>
      <c r="G71" s="17" t="str">
        <f t="shared" ca="1" si="5"/>
        <v/>
      </c>
      <c r="I71" s="17"/>
    </row>
    <row r="72" spans="1:9">
      <c r="A72" s="17">
        <f>tblEntity[[#This Row],[Entity ID]]</f>
        <v>0</v>
      </c>
      <c r="B72" s="17">
        <f>tblEntity[[#This Row],[Entity Legal Name]]</f>
        <v>0</v>
      </c>
      <c r="F72" s="17" t="str">
        <f t="shared" ca="1" si="4"/>
        <v/>
      </c>
      <c r="G72" s="17" t="str">
        <f t="shared" ca="1" si="5"/>
        <v/>
      </c>
      <c r="I72" s="17"/>
    </row>
    <row r="73" spans="1:9">
      <c r="A73" s="17">
        <f>tblEntity[[#This Row],[Entity ID]]</f>
        <v>0</v>
      </c>
      <c r="B73" s="17">
        <f>tblEntity[[#This Row],[Entity Legal Name]]</f>
        <v>0</v>
      </c>
      <c r="F73" s="17" t="str">
        <f t="shared" ca="1" si="4"/>
        <v/>
      </c>
      <c r="G73" s="17" t="str">
        <f t="shared" ca="1" si="5"/>
        <v/>
      </c>
      <c r="I73" s="17"/>
    </row>
    <row r="74" spans="1:9">
      <c r="A74" s="17">
        <f>tblEntity[[#This Row],[Entity ID]]</f>
        <v>0</v>
      </c>
      <c r="B74" s="17">
        <f>tblEntity[[#This Row],[Entity Legal Name]]</f>
        <v>0</v>
      </c>
      <c r="F74" s="17" t="str">
        <f t="shared" ca="1" si="4"/>
        <v/>
      </c>
      <c r="G74" s="17" t="str">
        <f t="shared" ca="1" si="5"/>
        <v/>
      </c>
      <c r="I74" s="17"/>
    </row>
    <row r="75" spans="1:9">
      <c r="A75" s="17">
        <f>tblEntity[[#This Row],[Entity ID]]</f>
        <v>0</v>
      </c>
      <c r="B75" s="17">
        <f>tblEntity[[#This Row],[Entity Legal Name]]</f>
        <v>0</v>
      </c>
      <c r="F75" s="17" t="str">
        <f t="shared" ca="1" si="4"/>
        <v/>
      </c>
      <c r="G75" s="17" t="str">
        <f t="shared" ca="1" si="5"/>
        <v/>
      </c>
      <c r="I75" s="17"/>
    </row>
    <row r="76" spans="1:9">
      <c r="A76" s="17">
        <f>tblEntity[[#This Row],[Entity ID]]</f>
        <v>0</v>
      </c>
      <c r="B76" s="17">
        <f>tblEntity[[#This Row],[Entity Legal Name]]</f>
        <v>0</v>
      </c>
      <c r="F76" s="17" t="str">
        <f t="shared" ca="1" si="4"/>
        <v/>
      </c>
      <c r="G76" s="17" t="str">
        <f t="shared" ca="1" si="5"/>
        <v/>
      </c>
      <c r="I76" s="17"/>
    </row>
    <row r="77" spans="1:9">
      <c r="A77" s="17">
        <f>tblEntity[[#This Row],[Entity ID]]</f>
        <v>0</v>
      </c>
      <c r="B77" s="17">
        <f>tblEntity[[#This Row],[Entity Legal Name]]</f>
        <v>0</v>
      </c>
      <c r="F77" s="17" t="str">
        <f t="shared" ca="1" si="4"/>
        <v/>
      </c>
      <c r="G77" s="17" t="str">
        <f t="shared" ca="1" si="5"/>
        <v/>
      </c>
      <c r="I77" s="17"/>
    </row>
    <row r="78" spans="1:9">
      <c r="A78" s="17">
        <f>tblEntity[[#This Row],[Entity ID]]</f>
        <v>0</v>
      </c>
      <c r="B78" s="17">
        <f>tblEntity[[#This Row],[Entity Legal Name]]</f>
        <v>0</v>
      </c>
      <c r="F78" s="17" t="str">
        <f t="shared" ca="1" si="4"/>
        <v/>
      </c>
      <c r="G78" s="17" t="str">
        <f t="shared" ca="1" si="5"/>
        <v/>
      </c>
      <c r="I78" s="17"/>
    </row>
    <row r="79" spans="1:9">
      <c r="A79" s="17">
        <f>tblEntity[[#This Row],[Entity ID]]</f>
        <v>0</v>
      </c>
      <c r="B79" s="17">
        <f>tblEntity[[#This Row],[Entity Legal Name]]</f>
        <v>0</v>
      </c>
      <c r="F79" s="17" t="str">
        <f t="shared" ca="1" si="4"/>
        <v/>
      </c>
      <c r="G79" s="17" t="str">
        <f t="shared" ca="1" si="5"/>
        <v/>
      </c>
      <c r="I79" s="17"/>
    </row>
    <row r="80" spans="1:9">
      <c r="A80" s="17">
        <f>tblEntity[[#This Row],[Entity ID]]</f>
        <v>0</v>
      </c>
      <c r="B80" s="17">
        <f>tblEntity[[#This Row],[Entity Legal Name]]</f>
        <v>0</v>
      </c>
      <c r="F80" s="17" t="str">
        <f t="shared" ca="1" si="4"/>
        <v/>
      </c>
      <c r="G80" s="17" t="str">
        <f t="shared" ca="1" si="5"/>
        <v/>
      </c>
      <c r="I80" s="17"/>
    </row>
    <row r="81" spans="1:9">
      <c r="A81" s="17">
        <f>tblEntity[[#This Row],[Entity ID]]</f>
        <v>0</v>
      </c>
      <c r="B81" s="17">
        <f>tblEntity[[#This Row],[Entity Legal Name]]</f>
        <v>0</v>
      </c>
      <c r="F81" s="17" t="str">
        <f t="shared" ca="1" si="4"/>
        <v/>
      </c>
      <c r="G81" s="17" t="str">
        <f t="shared" ca="1" si="5"/>
        <v/>
      </c>
      <c r="I81" s="17"/>
    </row>
    <row r="82" spans="1:9">
      <c r="A82" s="17">
        <f>tblEntity[[#This Row],[Entity ID]]</f>
        <v>0</v>
      </c>
      <c r="B82" s="17">
        <f>tblEntity[[#This Row],[Entity Legal Name]]</f>
        <v>0</v>
      </c>
      <c r="F82" s="17" t="str">
        <f t="shared" ca="1" si="4"/>
        <v/>
      </c>
      <c r="G82" s="17" t="str">
        <f t="shared" ca="1" si="5"/>
        <v/>
      </c>
      <c r="I82" s="17"/>
    </row>
    <row r="83" spans="1:9">
      <c r="A83" s="17">
        <f>tblEntity[[#This Row],[Entity ID]]</f>
        <v>0</v>
      </c>
      <c r="B83" s="17">
        <f>tblEntity[[#This Row],[Entity Legal Name]]</f>
        <v>0</v>
      </c>
      <c r="F83" s="17" t="str">
        <f t="shared" ca="1" si="4"/>
        <v/>
      </c>
      <c r="G83" s="17" t="str">
        <f t="shared" ca="1" si="5"/>
        <v/>
      </c>
      <c r="I83" s="17"/>
    </row>
    <row r="84" spans="1:9">
      <c r="A84" s="17">
        <f>tblEntity[[#This Row],[Entity ID]]</f>
        <v>0</v>
      </c>
      <c r="B84" s="17">
        <f>tblEntity[[#This Row],[Entity Legal Name]]</f>
        <v>0</v>
      </c>
      <c r="F84" s="17" t="str">
        <f t="shared" ca="1" si="4"/>
        <v/>
      </c>
      <c r="G84" s="17" t="str">
        <f t="shared" ca="1" si="5"/>
        <v/>
      </c>
      <c r="I84" s="17"/>
    </row>
    <row r="85" spans="1:9">
      <c r="A85" s="17">
        <f>tblEntity[[#This Row],[Entity ID]]</f>
        <v>0</v>
      </c>
      <c r="B85" s="17">
        <f>tblEntity[[#This Row],[Entity Legal Name]]</f>
        <v>0</v>
      </c>
      <c r="F85" s="17" t="str">
        <f t="shared" ca="1" si="4"/>
        <v/>
      </c>
      <c r="G85" s="17" t="str">
        <f t="shared" ca="1" si="5"/>
        <v/>
      </c>
      <c r="I85" s="17"/>
    </row>
    <row r="86" spans="1:9">
      <c r="A86" s="17">
        <f>tblEntity[[#This Row],[Entity ID]]</f>
        <v>0</v>
      </c>
      <c r="B86" s="17">
        <f>tblEntity[[#This Row],[Entity Legal Name]]</f>
        <v>0</v>
      </c>
      <c r="F86" s="17" t="str">
        <f t="shared" ca="1" si="4"/>
        <v/>
      </c>
      <c r="G86" s="17" t="str">
        <f t="shared" ca="1" si="5"/>
        <v/>
      </c>
      <c r="I86" s="17"/>
    </row>
    <row r="87" spans="1:9">
      <c r="A87" s="17">
        <f>tblEntity[[#This Row],[Entity ID]]</f>
        <v>0</v>
      </c>
      <c r="B87" s="17">
        <f>tblEntity[[#This Row],[Entity Legal Name]]</f>
        <v>0</v>
      </c>
      <c r="F87" s="17" t="str">
        <f t="shared" ca="1" si="4"/>
        <v/>
      </c>
      <c r="G87" s="17" t="str">
        <f t="shared" ca="1" si="5"/>
        <v/>
      </c>
      <c r="I87" s="17"/>
    </row>
    <row r="88" spans="1:9">
      <c r="A88" s="17">
        <f>tblEntity[[#This Row],[Entity ID]]</f>
        <v>0</v>
      </c>
      <c r="B88" s="17">
        <f>tblEntity[[#This Row],[Entity Legal Name]]</f>
        <v>0</v>
      </c>
      <c r="F88" s="17" t="str">
        <f t="shared" ca="1" si="4"/>
        <v/>
      </c>
      <c r="G88" s="17" t="str">
        <f t="shared" ca="1" si="5"/>
        <v/>
      </c>
      <c r="I88" s="17"/>
    </row>
    <row r="89" spans="1:9">
      <c r="A89" s="17">
        <f>tblEntity[[#This Row],[Entity ID]]</f>
        <v>0</v>
      </c>
      <c r="B89" s="17">
        <f>tblEntity[[#This Row],[Entity Legal Name]]</f>
        <v>0</v>
      </c>
      <c r="F89" s="17" t="str">
        <f t="shared" ca="1" si="4"/>
        <v/>
      </c>
      <c r="G89" s="17" t="str">
        <f t="shared" ca="1" si="5"/>
        <v/>
      </c>
      <c r="I89" s="17"/>
    </row>
    <row r="90" spans="1:9">
      <c r="A90" s="17">
        <f>tblEntity[[#This Row],[Entity ID]]</f>
        <v>0</v>
      </c>
      <c r="B90" s="17">
        <f>tblEntity[[#This Row],[Entity Legal Name]]</f>
        <v>0</v>
      </c>
      <c r="F90" s="17" t="str">
        <f t="shared" ca="1" si="4"/>
        <v/>
      </c>
      <c r="G90" s="17" t="str">
        <f t="shared" ca="1" si="5"/>
        <v/>
      </c>
      <c r="I90" s="17"/>
    </row>
    <row r="91" spans="1:9">
      <c r="A91" s="17">
        <f>tblEntity[[#This Row],[Entity ID]]</f>
        <v>0</v>
      </c>
      <c r="B91" s="17">
        <f>tblEntity[[#This Row],[Entity Legal Name]]</f>
        <v>0</v>
      </c>
      <c r="F91" s="17" t="str">
        <f t="shared" ca="1" si="4"/>
        <v/>
      </c>
      <c r="G91" s="17" t="str">
        <f t="shared" ca="1" si="5"/>
        <v/>
      </c>
      <c r="I91" s="17"/>
    </row>
    <row r="92" spans="1:9">
      <c r="A92" s="17">
        <f>tblEntity[[#This Row],[Entity ID]]</f>
        <v>0</v>
      </c>
      <c r="B92" s="17">
        <f>tblEntity[[#This Row],[Entity Legal Name]]</f>
        <v>0</v>
      </c>
      <c r="F92" s="17" t="str">
        <f t="shared" ca="1" si="4"/>
        <v/>
      </c>
      <c r="G92" s="17" t="str">
        <f t="shared" ca="1" si="5"/>
        <v/>
      </c>
      <c r="I92" s="17"/>
    </row>
    <row r="93" spans="1:9">
      <c r="A93" s="17">
        <f>tblEntity[[#This Row],[Entity ID]]</f>
        <v>0</v>
      </c>
      <c r="B93" s="17">
        <f>tblEntity[[#This Row],[Entity Legal Name]]</f>
        <v>0</v>
      </c>
      <c r="F93" s="17" t="str">
        <f t="shared" ca="1" si="4"/>
        <v/>
      </c>
      <c r="G93" s="17" t="str">
        <f t="shared" ca="1" si="5"/>
        <v/>
      </c>
      <c r="I93" s="17"/>
    </row>
    <row r="94" spans="1:9">
      <c r="A94" s="17">
        <f>tblEntity[[#This Row],[Entity ID]]</f>
        <v>0</v>
      </c>
      <c r="B94" s="17">
        <f>tblEntity[[#This Row],[Entity Legal Name]]</f>
        <v>0</v>
      </c>
      <c r="F94" s="17" t="str">
        <f t="shared" ca="1" si="4"/>
        <v/>
      </c>
      <c r="G94" s="17" t="str">
        <f t="shared" ca="1" si="5"/>
        <v/>
      </c>
      <c r="I94" s="17"/>
    </row>
    <row r="95" spans="1:9">
      <c r="A95" s="17">
        <f>tblEntity[[#This Row],[Entity ID]]</f>
        <v>0</v>
      </c>
      <c r="B95" s="17">
        <f>tblEntity[[#This Row],[Entity Legal Name]]</f>
        <v>0</v>
      </c>
      <c r="F95" s="17" t="str">
        <f t="shared" ca="1" si="4"/>
        <v/>
      </c>
      <c r="G95" s="17" t="str">
        <f t="shared" ca="1" si="5"/>
        <v/>
      </c>
      <c r="I95" s="17"/>
    </row>
    <row r="96" spans="1:9">
      <c r="A96" s="17">
        <f>tblEntity[[#This Row],[Entity ID]]</f>
        <v>0</v>
      </c>
      <c r="B96" s="17">
        <f>tblEntity[[#This Row],[Entity Legal Name]]</f>
        <v>0</v>
      </c>
      <c r="F96" s="17" t="str">
        <f t="shared" ca="1" si="4"/>
        <v/>
      </c>
      <c r="G96" s="17" t="str">
        <f t="shared" ca="1" si="5"/>
        <v/>
      </c>
      <c r="I96" s="17"/>
    </row>
    <row r="97" spans="1:9">
      <c r="A97" s="17">
        <f>tblEntity[[#This Row],[Entity ID]]</f>
        <v>0</v>
      </c>
      <c r="B97" s="17">
        <f>tblEntity[[#This Row],[Entity Legal Name]]</f>
        <v>0</v>
      </c>
      <c r="F97" s="17" t="str">
        <f t="shared" ca="1" si="4"/>
        <v/>
      </c>
      <c r="G97" s="17" t="str">
        <f t="shared" ca="1" si="5"/>
        <v/>
      </c>
      <c r="I97" s="17"/>
    </row>
    <row r="98" spans="1:9">
      <c r="A98" s="17">
        <f>tblEntity[[#This Row],[Entity ID]]</f>
        <v>0</v>
      </c>
      <c r="B98" s="17">
        <f>tblEntity[[#This Row],[Entity Legal Name]]</f>
        <v>0</v>
      </c>
      <c r="F98" s="17" t="str">
        <f t="shared" ref="F98:F100" ca="1" si="6">IF(D98="","",D98-TODAY())</f>
        <v/>
      </c>
      <c r="G98" s="17" t="str">
        <f t="shared" ref="G98:G100" ca="1" si="7">IF(F98="","",IF(F98&lt;0,"EXPIRED",IF(F98&lt;=60,"RENEW &lt;60d","")))</f>
        <v/>
      </c>
      <c r="I98" s="17"/>
    </row>
    <row r="99" spans="1:9">
      <c r="A99" s="17">
        <f>tblEntity[[#This Row],[Entity ID]]</f>
        <v>0</v>
      </c>
      <c r="B99" s="17">
        <f>tblEntity[[#This Row],[Entity Legal Name]]</f>
        <v>0</v>
      </c>
      <c r="F99" s="17" t="str">
        <f t="shared" ca="1" si="6"/>
        <v/>
      </c>
      <c r="G99" s="17" t="str">
        <f t="shared" ca="1" si="7"/>
        <v/>
      </c>
      <c r="I99" s="17"/>
    </row>
    <row r="100" spans="1:9">
      <c r="A100" s="17">
        <f>tblEntity[[#This Row],[Entity ID]]</f>
        <v>0</v>
      </c>
      <c r="B100" s="17">
        <f>tblEntity[[#This Row],[Entity Legal Name]]</f>
        <v>0</v>
      </c>
      <c r="F100" s="17" t="str">
        <f t="shared" ca="1" si="6"/>
        <v/>
      </c>
      <c r="G100" s="17" t="str">
        <f t="shared" ca="1" si="7"/>
        <v/>
      </c>
      <c r="I100" s="17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showGridLines="0" workbookViewId="0">
      <pane ySplit="1" topLeftCell="A2" activePane="bottomLeft" state="frozen"/>
      <selection pane="bottomLeft" activeCell="D8" sqref="D8"/>
    </sheetView>
  </sheetViews>
  <sheetFormatPr defaultColWidth="8.81640625" defaultRowHeight="15.5"/>
  <cols>
    <col min="1" max="1" width="13" style="17" customWidth="1"/>
    <col min="2" max="2" width="29.90625" style="17" bestFit="1" customWidth="1"/>
    <col min="3" max="3" width="14" style="17" customWidth="1"/>
    <col min="4" max="4" width="26.453125" style="17" bestFit="1" customWidth="1"/>
    <col min="5" max="5" width="16.08984375" style="17" customWidth="1"/>
    <col min="6" max="6" width="20.36328125" style="17" bestFit="1" customWidth="1"/>
    <col min="7" max="7" width="22.1796875" style="17" customWidth="1"/>
    <col min="8" max="8" width="21.6328125" style="17" customWidth="1"/>
    <col min="9" max="10" width="16" style="17" customWidth="1"/>
    <col min="11" max="11" width="12" style="17" customWidth="1"/>
    <col min="12" max="16384" width="8.81640625" style="17"/>
  </cols>
  <sheetData>
    <row r="1" spans="1:11" ht="22" customHeight="1">
      <c r="A1" s="27" t="s">
        <v>79</v>
      </c>
      <c r="B1" s="27" t="s">
        <v>80</v>
      </c>
      <c r="C1" s="27" t="s">
        <v>127</v>
      </c>
      <c r="D1" s="27" t="s">
        <v>128</v>
      </c>
      <c r="E1" s="27" t="s">
        <v>129</v>
      </c>
      <c r="F1" s="27" t="s">
        <v>118</v>
      </c>
      <c r="G1" s="27" t="s">
        <v>119</v>
      </c>
      <c r="H1" s="27" t="s">
        <v>116</v>
      </c>
      <c r="I1" s="28" t="s">
        <v>130</v>
      </c>
      <c r="J1" s="27" t="s">
        <v>131</v>
      </c>
      <c r="K1" s="27" t="s">
        <v>88</v>
      </c>
    </row>
    <row r="2" spans="1:11">
      <c r="A2" s="25" t="str">
        <f>tblEntity[[#This Row],[Entity ID]]</f>
        <v>E-001</v>
      </c>
      <c r="B2" s="26" t="str">
        <f>tblEntity[[#This Row],[Entity Legal Name]]</f>
        <v>Symax Group Limited</v>
      </c>
      <c r="C2" s="17" t="s">
        <v>270</v>
      </c>
      <c r="G2" s="41"/>
    </row>
    <row r="3" spans="1:11">
      <c r="A3" s="25" t="str">
        <f>tblEntity[[#This Row],[Entity ID]]</f>
        <v>E-002</v>
      </c>
      <c r="B3" s="26" t="str">
        <f>tblEntity[[#This Row],[Entity Legal Name]]</f>
        <v>Mycom Holding Limited</v>
      </c>
      <c r="C3" s="17" t="s">
        <v>270</v>
      </c>
      <c r="G3" s="41"/>
    </row>
    <row r="4" spans="1:11">
      <c r="A4" s="25" t="str">
        <f>tblEntity[[#This Row],[Entity ID]]</f>
        <v>E-003</v>
      </c>
      <c r="B4" s="26" t="str">
        <f>tblEntity[[#This Row],[Entity Legal Name]]</f>
        <v>Amertaat Ltd.</v>
      </c>
      <c r="C4" s="17" t="s">
        <v>270</v>
      </c>
      <c r="G4" s="41"/>
    </row>
    <row r="5" spans="1:11">
      <c r="A5" s="25" t="str">
        <f>tblEntity[[#This Row],[Entity ID]]</f>
        <v>E-004</v>
      </c>
      <c r="B5" s="26" t="str">
        <f>tblEntity[[#This Row],[Entity Legal Name]]</f>
        <v>One Media Tech Holding Inc.</v>
      </c>
      <c r="C5" s="17" t="s">
        <v>270</v>
      </c>
      <c r="G5" s="41"/>
    </row>
    <row r="6" spans="1:11">
      <c r="A6" s="25" t="str">
        <f>tblEntity[[#This Row],[Entity ID]]</f>
        <v>E-005</v>
      </c>
      <c r="B6" s="26" t="str">
        <f>tblEntity[[#This Row],[Entity Legal Name]]</f>
        <v>Symax General Trading LLC</v>
      </c>
      <c r="C6" s="17" t="s">
        <v>272</v>
      </c>
      <c r="D6" s="17" t="s">
        <v>280</v>
      </c>
      <c r="E6" s="17" t="s">
        <v>281</v>
      </c>
      <c r="F6" s="35" t="s">
        <v>282</v>
      </c>
      <c r="G6" s="41">
        <v>971501557532</v>
      </c>
      <c r="H6" s="33">
        <v>45611</v>
      </c>
      <c r="I6" s="17" t="s">
        <v>283</v>
      </c>
      <c r="J6" s="17" t="s">
        <v>279</v>
      </c>
    </row>
    <row r="7" spans="1:11">
      <c r="A7" s="25" t="str">
        <f>tblEntity[[#This Row],[Entity ID]]</f>
        <v>E-006</v>
      </c>
      <c r="B7" s="26" t="str">
        <f>tblEntity[[#This Row],[Entity Legal Name]]</f>
        <v>Symax Law FZCO</v>
      </c>
      <c r="C7" s="17" t="s">
        <v>273</v>
      </c>
      <c r="G7" s="41"/>
    </row>
    <row r="8" spans="1:11">
      <c r="A8" s="25" t="str">
        <f>tblEntity[[#This Row],[Entity ID]]</f>
        <v>E-007</v>
      </c>
      <c r="B8" s="26" t="str">
        <f>tblEntity[[#This Row],[Entity Legal Name]]</f>
        <v>Z Prime Ltd</v>
      </c>
      <c r="C8" s="17" t="s">
        <v>270</v>
      </c>
      <c r="G8" s="41"/>
    </row>
    <row r="9" spans="1:11">
      <c r="A9" s="25" t="str">
        <f>tblEntity[[#This Row],[Entity ID]]</f>
        <v>E-008</v>
      </c>
      <c r="B9" s="26" t="str">
        <f>tblEntity[[#This Row],[Entity Legal Name]]</f>
        <v>Z Prime GmbH</v>
      </c>
      <c r="C9" s="17" t="s">
        <v>270</v>
      </c>
      <c r="G9" s="41"/>
    </row>
    <row r="10" spans="1:11">
      <c r="A10" s="25" t="str">
        <f>tblEntity[[#This Row],[Entity ID]]</f>
        <v>E-009</v>
      </c>
      <c r="B10" s="26" t="str">
        <f>tblEntity[[#This Row],[Entity Legal Name]]</f>
        <v>Amertaat Italia SRL</v>
      </c>
      <c r="C10" s="17" t="s">
        <v>274</v>
      </c>
      <c r="G10" s="41"/>
    </row>
    <row r="11" spans="1:11" ht="29">
      <c r="A11" s="25" t="str">
        <f>tblEntity[[#This Row],[Entity ID]]</f>
        <v>E-010</v>
      </c>
      <c r="B11" s="26" t="str">
        <f>tblEntity[[#This Row],[Entity Legal Name]]</f>
        <v>eJuno FZCO</v>
      </c>
      <c r="C11" s="17" t="s">
        <v>275</v>
      </c>
      <c r="D11" s="17" t="s">
        <v>276</v>
      </c>
      <c r="E11" s="17" t="s">
        <v>277</v>
      </c>
      <c r="F11" s="40" t="s">
        <v>278</v>
      </c>
      <c r="G11" s="41">
        <v>971527826758</v>
      </c>
      <c r="H11" s="33">
        <v>45422</v>
      </c>
      <c r="I11" s="17">
        <v>2025</v>
      </c>
      <c r="J11" s="17" t="s">
        <v>279</v>
      </c>
    </row>
  </sheetData>
  <hyperlinks>
    <hyperlink ref="F11" r:id="rId1" display="shaji@scmmadria.com" xr:uid="{F646ADF1-E6C3-4693-B1FA-C5F1F07D7EFF}"/>
    <hyperlink ref="F6" r:id="rId2" xr:uid="{2DEA937D-BE8D-48C1-A23C-C89989C4E760}"/>
  </hyperlinks>
  <pageMargins left="0.7" right="0.7" top="0.75" bottom="0.75" header="0.3" footer="0.3"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I200"/>
  <sheetViews>
    <sheetView showGridLines="0" tabSelected="1" topLeftCell="C1" workbookViewId="0">
      <pane ySplit="1" topLeftCell="A2" activePane="bottomLeft" state="frozen"/>
      <selection pane="bottomLeft"/>
    </sheetView>
  </sheetViews>
  <sheetFormatPr defaultColWidth="8.81640625" defaultRowHeight="15.5"/>
  <cols>
    <col min="1" max="1" width="12" style="17" customWidth="1"/>
    <col min="2" max="2" width="13" style="17" customWidth="1"/>
    <col min="3" max="3" width="26.1796875" style="17" customWidth="1"/>
    <col min="4" max="4" width="35" style="17" customWidth="1"/>
    <col min="5" max="5" width="14" style="17" customWidth="1"/>
    <col min="6" max="6" width="15" style="17" customWidth="1"/>
    <col min="7" max="7" width="22" style="17" customWidth="1"/>
    <col min="8" max="8" width="17" style="17" customWidth="1"/>
    <col min="9" max="9" width="12" style="17" customWidth="1"/>
    <col min="10" max="16384" width="8.81640625" style="17"/>
  </cols>
  <sheetData>
    <row r="1" spans="1:9" ht="22" customHeight="1">
      <c r="A1" s="18" t="s">
        <v>163</v>
      </c>
      <c r="B1" s="18" t="s">
        <v>79</v>
      </c>
      <c r="C1" s="18" t="s">
        <v>164</v>
      </c>
      <c r="D1" s="18" t="s">
        <v>165</v>
      </c>
      <c r="E1" s="18" t="s">
        <v>166</v>
      </c>
      <c r="F1" s="18" t="s">
        <v>167</v>
      </c>
      <c r="G1" s="18" t="s">
        <v>168</v>
      </c>
      <c r="H1" s="18" t="s">
        <v>169</v>
      </c>
      <c r="I1" s="18" t="s">
        <v>88</v>
      </c>
    </row>
    <row r="2" spans="1:9">
      <c r="A2" s="19"/>
      <c r="B2" s="19"/>
      <c r="C2" s="19"/>
      <c r="D2" s="19"/>
      <c r="E2" s="20"/>
      <c r="F2" s="20"/>
      <c r="G2" s="19"/>
      <c r="H2" s="19"/>
      <c r="I2" s="19"/>
    </row>
    <row r="3" spans="1:9">
      <c r="A3" s="19"/>
      <c r="B3" s="19"/>
      <c r="C3" s="19"/>
      <c r="D3" s="19"/>
      <c r="E3" s="20"/>
      <c r="F3" s="20"/>
      <c r="G3" s="19"/>
      <c r="H3" s="19"/>
      <c r="I3" s="19"/>
    </row>
    <row r="4" spans="1:9">
      <c r="A4" s="19"/>
      <c r="B4" s="19"/>
      <c r="C4" s="19"/>
      <c r="D4" s="19"/>
      <c r="E4" s="20"/>
      <c r="F4" s="20"/>
      <c r="G4" s="19"/>
      <c r="H4" s="19"/>
      <c r="I4" s="19"/>
    </row>
    <row r="5" spans="1:9">
      <c r="A5" s="19"/>
      <c r="B5" s="19"/>
      <c r="C5" s="19"/>
      <c r="D5" s="19"/>
      <c r="E5" s="20"/>
      <c r="F5" s="20"/>
      <c r="G5" s="19"/>
      <c r="H5" s="19"/>
      <c r="I5" s="19"/>
    </row>
    <row r="6" spans="1:9">
      <c r="A6" s="19"/>
      <c r="B6" s="19"/>
      <c r="C6" s="19"/>
      <c r="D6" s="19"/>
      <c r="E6" s="20"/>
      <c r="F6" s="20"/>
      <c r="G6" s="19"/>
      <c r="H6" s="19"/>
      <c r="I6" s="19"/>
    </row>
    <row r="7" spans="1:9">
      <c r="A7" s="19"/>
      <c r="B7" s="19"/>
      <c r="C7" s="19"/>
      <c r="D7" s="19"/>
      <c r="E7" s="20"/>
      <c r="F7" s="20"/>
      <c r="G7" s="19"/>
      <c r="H7" s="19"/>
      <c r="I7" s="19"/>
    </row>
    <row r="8" spans="1:9">
      <c r="A8" s="19"/>
      <c r="B8" s="19"/>
      <c r="C8" s="19"/>
      <c r="D8" s="19"/>
      <c r="E8" s="20"/>
      <c r="F8" s="20"/>
      <c r="G8" s="19"/>
      <c r="H8" s="19"/>
      <c r="I8" s="19"/>
    </row>
    <row r="9" spans="1:9">
      <c r="A9" s="19"/>
      <c r="B9" s="19"/>
      <c r="C9" s="19"/>
      <c r="D9" s="19"/>
      <c r="E9" s="20"/>
      <c r="F9" s="20"/>
      <c r="G9" s="19"/>
      <c r="H9" s="19"/>
      <c r="I9" s="19"/>
    </row>
    <row r="10" spans="1:9">
      <c r="A10" s="19"/>
      <c r="B10" s="19"/>
      <c r="C10" s="19"/>
      <c r="D10" s="19"/>
      <c r="E10" s="20"/>
      <c r="F10" s="20"/>
      <c r="G10" s="19"/>
      <c r="H10" s="19"/>
      <c r="I10" s="19"/>
    </row>
    <row r="11" spans="1:9">
      <c r="A11" s="19"/>
      <c r="B11" s="19"/>
      <c r="C11" s="19"/>
      <c r="D11" s="19"/>
      <c r="E11" s="20"/>
      <c r="F11" s="20"/>
      <c r="G11" s="19"/>
      <c r="H11" s="19"/>
      <c r="I11" s="19"/>
    </row>
    <row r="12" spans="1:9">
      <c r="A12" s="19"/>
      <c r="B12" s="19"/>
      <c r="C12" s="19"/>
      <c r="D12" s="19"/>
      <c r="E12" s="20"/>
      <c r="F12" s="20"/>
      <c r="G12" s="19"/>
      <c r="H12" s="19"/>
      <c r="I12" s="19"/>
    </row>
    <row r="13" spans="1:9">
      <c r="A13" s="19"/>
      <c r="B13" s="19"/>
      <c r="C13" s="19"/>
      <c r="D13" s="19"/>
      <c r="E13" s="20"/>
      <c r="F13" s="20"/>
      <c r="G13" s="19"/>
      <c r="H13" s="19"/>
      <c r="I13" s="19"/>
    </row>
    <row r="14" spans="1:9">
      <c r="A14" s="19"/>
      <c r="B14" s="19"/>
      <c r="C14" s="19"/>
      <c r="D14" s="19"/>
      <c r="E14" s="20"/>
      <c r="F14" s="20"/>
      <c r="G14" s="19"/>
      <c r="H14" s="19"/>
      <c r="I14" s="19"/>
    </row>
    <row r="15" spans="1:9">
      <c r="A15" s="19"/>
      <c r="B15" s="19"/>
      <c r="C15" s="19"/>
      <c r="D15" s="19"/>
      <c r="E15" s="20"/>
      <c r="F15" s="20"/>
      <c r="G15" s="19"/>
      <c r="H15" s="19"/>
      <c r="I15" s="19"/>
    </row>
    <row r="16" spans="1:9">
      <c r="A16" s="19"/>
      <c r="B16" s="19"/>
      <c r="C16" s="19"/>
      <c r="D16" s="19"/>
      <c r="E16" s="20"/>
      <c r="F16" s="20"/>
      <c r="G16" s="19"/>
      <c r="H16" s="19"/>
      <c r="I16" s="19"/>
    </row>
    <row r="17" spans="1:9">
      <c r="A17" s="19"/>
      <c r="B17" s="19"/>
      <c r="C17" s="19"/>
      <c r="D17" s="19"/>
      <c r="E17" s="20"/>
      <c r="F17" s="20"/>
      <c r="G17" s="19"/>
      <c r="H17" s="19"/>
      <c r="I17" s="19"/>
    </row>
    <row r="18" spans="1:9">
      <c r="A18" s="19"/>
      <c r="B18" s="19"/>
      <c r="C18" s="19"/>
      <c r="D18" s="19"/>
      <c r="E18" s="20"/>
      <c r="F18" s="20"/>
      <c r="G18" s="19"/>
      <c r="H18" s="19"/>
      <c r="I18" s="19"/>
    </row>
    <row r="19" spans="1:9">
      <c r="A19" s="19"/>
      <c r="B19" s="19"/>
      <c r="C19" s="19"/>
      <c r="D19" s="19"/>
      <c r="E19" s="20"/>
      <c r="F19" s="20"/>
      <c r="G19" s="19"/>
      <c r="H19" s="19"/>
      <c r="I19" s="19"/>
    </row>
    <row r="20" spans="1:9">
      <c r="A20" s="19"/>
      <c r="B20" s="19"/>
      <c r="C20" s="19"/>
      <c r="D20" s="19"/>
      <c r="E20" s="20"/>
      <c r="F20" s="20"/>
      <c r="G20" s="19"/>
      <c r="H20" s="19"/>
      <c r="I20" s="19"/>
    </row>
    <row r="21" spans="1:9">
      <c r="A21" s="19"/>
      <c r="B21" s="19"/>
      <c r="C21" s="19"/>
      <c r="D21" s="19"/>
      <c r="E21" s="20"/>
      <c r="F21" s="20"/>
      <c r="G21" s="19"/>
      <c r="H21" s="19"/>
      <c r="I21" s="19"/>
    </row>
    <row r="22" spans="1:9">
      <c r="A22" s="19"/>
      <c r="B22" s="19"/>
      <c r="C22" s="19"/>
      <c r="D22" s="19"/>
      <c r="E22" s="20"/>
      <c r="F22" s="20"/>
      <c r="G22" s="19"/>
      <c r="H22" s="19"/>
      <c r="I22" s="19"/>
    </row>
    <row r="23" spans="1:9">
      <c r="A23" s="19"/>
      <c r="B23" s="19"/>
      <c r="C23" s="19"/>
      <c r="D23" s="19"/>
      <c r="E23" s="20"/>
      <c r="F23" s="20"/>
      <c r="G23" s="19"/>
      <c r="H23" s="19"/>
      <c r="I23" s="19"/>
    </row>
    <row r="24" spans="1:9">
      <c r="A24" s="19"/>
      <c r="B24" s="19"/>
      <c r="C24" s="19"/>
      <c r="D24" s="19"/>
      <c r="E24" s="20"/>
      <c r="F24" s="20"/>
      <c r="G24" s="19"/>
      <c r="H24" s="19"/>
      <c r="I24" s="19"/>
    </row>
    <row r="25" spans="1:9">
      <c r="A25" s="19"/>
      <c r="B25" s="19"/>
      <c r="C25" s="19"/>
      <c r="D25" s="19"/>
      <c r="E25" s="20"/>
      <c r="F25" s="20"/>
      <c r="G25" s="19"/>
      <c r="H25" s="19"/>
      <c r="I25" s="19"/>
    </row>
    <row r="26" spans="1:9">
      <c r="A26" s="19"/>
      <c r="B26" s="19"/>
      <c r="C26" s="19"/>
      <c r="D26" s="19"/>
      <c r="E26" s="20"/>
      <c r="F26" s="20"/>
      <c r="G26" s="19"/>
      <c r="H26" s="19"/>
      <c r="I26" s="19"/>
    </row>
    <row r="27" spans="1:9">
      <c r="A27" s="19"/>
      <c r="B27" s="19"/>
      <c r="C27" s="19"/>
      <c r="D27" s="19"/>
      <c r="E27" s="20"/>
      <c r="F27" s="20"/>
      <c r="G27" s="19"/>
      <c r="H27" s="19"/>
      <c r="I27" s="19"/>
    </row>
    <row r="28" spans="1:9">
      <c r="A28" s="19"/>
      <c r="B28" s="19"/>
      <c r="C28" s="19"/>
      <c r="D28" s="19"/>
      <c r="E28" s="20"/>
      <c r="F28" s="20"/>
      <c r="G28" s="19"/>
      <c r="H28" s="19"/>
      <c r="I28" s="19"/>
    </row>
    <row r="29" spans="1:9">
      <c r="A29" s="19"/>
      <c r="B29" s="19"/>
      <c r="C29" s="19"/>
      <c r="D29" s="19"/>
      <c r="E29" s="20"/>
      <c r="F29" s="20"/>
      <c r="G29" s="19"/>
      <c r="H29" s="19"/>
      <c r="I29" s="19"/>
    </row>
    <row r="30" spans="1:9">
      <c r="A30" s="19"/>
      <c r="B30" s="19"/>
      <c r="C30" s="19"/>
      <c r="D30" s="19"/>
      <c r="E30" s="20"/>
      <c r="F30" s="20"/>
      <c r="G30" s="19"/>
      <c r="H30" s="19"/>
      <c r="I30" s="19"/>
    </row>
    <row r="31" spans="1:9">
      <c r="A31" s="19"/>
      <c r="B31" s="19"/>
      <c r="C31" s="19"/>
      <c r="D31" s="19"/>
      <c r="E31" s="20"/>
      <c r="F31" s="20"/>
      <c r="G31" s="19"/>
      <c r="H31" s="19"/>
      <c r="I31" s="19"/>
    </row>
    <row r="32" spans="1:9">
      <c r="A32" s="19"/>
      <c r="B32" s="19"/>
      <c r="C32" s="19"/>
      <c r="D32" s="19"/>
      <c r="E32" s="20"/>
      <c r="F32" s="20"/>
      <c r="G32" s="19"/>
      <c r="H32" s="19"/>
      <c r="I32" s="19"/>
    </row>
    <row r="33" spans="1:9">
      <c r="A33" s="19"/>
      <c r="B33" s="19"/>
      <c r="C33" s="19"/>
      <c r="D33" s="19"/>
      <c r="E33" s="20"/>
      <c r="F33" s="20"/>
      <c r="G33" s="19"/>
      <c r="H33" s="19"/>
      <c r="I33" s="19"/>
    </row>
    <row r="34" spans="1:9">
      <c r="A34" s="19"/>
      <c r="B34" s="19"/>
      <c r="C34" s="19"/>
      <c r="D34" s="19"/>
      <c r="E34" s="20"/>
      <c r="F34" s="20"/>
      <c r="G34" s="19"/>
      <c r="H34" s="19"/>
      <c r="I34" s="19"/>
    </row>
    <row r="35" spans="1:9">
      <c r="A35" s="19"/>
      <c r="B35" s="19"/>
      <c r="C35" s="19"/>
      <c r="D35" s="19"/>
      <c r="E35" s="20"/>
      <c r="F35" s="20"/>
      <c r="G35" s="19"/>
      <c r="H35" s="19"/>
      <c r="I35" s="19"/>
    </row>
    <row r="36" spans="1:9">
      <c r="A36" s="19"/>
      <c r="B36" s="19"/>
      <c r="C36" s="19"/>
      <c r="D36" s="19"/>
      <c r="E36" s="20"/>
      <c r="F36" s="20"/>
      <c r="G36" s="19"/>
      <c r="H36" s="19"/>
      <c r="I36" s="19"/>
    </row>
    <row r="37" spans="1:9">
      <c r="A37" s="19"/>
      <c r="B37" s="19"/>
      <c r="C37" s="19"/>
      <c r="D37" s="19"/>
      <c r="E37" s="20"/>
      <c r="F37" s="20"/>
      <c r="G37" s="19"/>
      <c r="H37" s="19"/>
      <c r="I37" s="19"/>
    </row>
    <row r="38" spans="1:9">
      <c r="A38" s="19"/>
      <c r="B38" s="19"/>
      <c r="C38" s="19"/>
      <c r="D38" s="19"/>
      <c r="E38" s="20"/>
      <c r="F38" s="20"/>
      <c r="G38" s="19"/>
      <c r="H38" s="19"/>
      <c r="I38" s="19"/>
    </row>
    <row r="39" spans="1:9">
      <c r="A39" s="19"/>
      <c r="B39" s="19"/>
      <c r="C39" s="19"/>
      <c r="D39" s="19"/>
      <c r="E39" s="20"/>
      <c r="F39" s="20"/>
      <c r="G39" s="19"/>
      <c r="H39" s="19"/>
      <c r="I39" s="19"/>
    </row>
    <row r="40" spans="1:9">
      <c r="A40" s="19"/>
      <c r="B40" s="19"/>
      <c r="C40" s="19"/>
      <c r="D40" s="19"/>
      <c r="E40" s="20"/>
      <c r="F40" s="20"/>
      <c r="G40" s="19"/>
      <c r="H40" s="19"/>
      <c r="I40" s="19"/>
    </row>
    <row r="41" spans="1:9">
      <c r="A41" s="19"/>
      <c r="B41" s="19"/>
      <c r="C41" s="19"/>
      <c r="D41" s="19"/>
      <c r="E41" s="20"/>
      <c r="F41" s="20"/>
      <c r="G41" s="19"/>
      <c r="H41" s="19"/>
      <c r="I41" s="19"/>
    </row>
    <row r="42" spans="1:9">
      <c r="A42" s="19"/>
      <c r="B42" s="19"/>
      <c r="C42" s="19"/>
      <c r="D42" s="19"/>
      <c r="E42" s="20"/>
      <c r="F42" s="20"/>
      <c r="G42" s="19"/>
      <c r="H42" s="19"/>
      <c r="I42" s="19"/>
    </row>
    <row r="43" spans="1:9">
      <c r="A43" s="19"/>
      <c r="B43" s="19"/>
      <c r="C43" s="19"/>
      <c r="D43" s="19"/>
      <c r="E43" s="20"/>
      <c r="F43" s="20"/>
      <c r="G43" s="19"/>
      <c r="H43" s="19"/>
      <c r="I43" s="19"/>
    </row>
    <row r="44" spans="1:9">
      <c r="A44" s="19"/>
      <c r="B44" s="19"/>
      <c r="C44" s="19"/>
      <c r="D44" s="19"/>
      <c r="E44" s="20"/>
      <c r="F44" s="20"/>
      <c r="G44" s="19"/>
      <c r="H44" s="19"/>
      <c r="I44" s="19"/>
    </row>
    <row r="45" spans="1:9">
      <c r="A45" s="19"/>
      <c r="B45" s="19"/>
      <c r="C45" s="19"/>
      <c r="D45" s="19"/>
      <c r="E45" s="20"/>
      <c r="F45" s="20"/>
      <c r="G45" s="19"/>
      <c r="H45" s="19"/>
      <c r="I45" s="19"/>
    </row>
    <row r="46" spans="1:9">
      <c r="A46" s="19"/>
      <c r="B46" s="19"/>
      <c r="C46" s="19"/>
      <c r="D46" s="19"/>
      <c r="E46" s="20"/>
      <c r="F46" s="20"/>
      <c r="G46" s="19"/>
      <c r="H46" s="19"/>
      <c r="I46" s="19"/>
    </row>
    <row r="47" spans="1:9">
      <c r="A47" s="19"/>
      <c r="B47" s="19"/>
      <c r="C47" s="19"/>
      <c r="D47" s="19"/>
      <c r="E47" s="20"/>
      <c r="F47" s="20"/>
      <c r="G47" s="19"/>
      <c r="H47" s="19"/>
      <c r="I47" s="19"/>
    </row>
    <row r="48" spans="1:9">
      <c r="A48" s="19"/>
      <c r="B48" s="19"/>
      <c r="C48" s="19"/>
      <c r="D48" s="19"/>
      <c r="E48" s="20"/>
      <c r="F48" s="20"/>
      <c r="G48" s="19"/>
      <c r="H48" s="19"/>
      <c r="I48" s="19"/>
    </row>
    <row r="49" spans="1:9">
      <c r="A49" s="19"/>
      <c r="B49" s="19"/>
      <c r="C49" s="19"/>
      <c r="D49" s="19"/>
      <c r="E49" s="20"/>
      <c r="F49" s="20"/>
      <c r="G49" s="19"/>
      <c r="H49" s="19"/>
      <c r="I49" s="19"/>
    </row>
    <row r="50" spans="1:9">
      <c r="A50" s="19"/>
      <c r="B50" s="19"/>
      <c r="C50" s="19"/>
      <c r="D50" s="19"/>
      <c r="E50" s="20"/>
      <c r="F50" s="20"/>
      <c r="G50" s="19"/>
      <c r="H50" s="19"/>
      <c r="I50" s="19"/>
    </row>
    <row r="51" spans="1:9">
      <c r="A51" s="19"/>
      <c r="B51" s="19"/>
      <c r="C51" s="19"/>
      <c r="D51" s="19"/>
      <c r="E51" s="20"/>
      <c r="F51" s="20"/>
      <c r="G51" s="19"/>
      <c r="H51" s="19"/>
      <c r="I51" s="19"/>
    </row>
    <row r="52" spans="1:9">
      <c r="A52" s="19"/>
      <c r="B52" s="19"/>
      <c r="C52" s="19"/>
      <c r="D52" s="19"/>
      <c r="E52" s="20"/>
      <c r="F52" s="20"/>
      <c r="G52" s="19"/>
      <c r="H52" s="19"/>
      <c r="I52" s="19"/>
    </row>
    <row r="53" spans="1:9">
      <c r="A53" s="19"/>
      <c r="B53" s="19"/>
      <c r="C53" s="19"/>
      <c r="D53" s="19"/>
      <c r="E53" s="20"/>
      <c r="F53" s="20"/>
      <c r="G53" s="19"/>
      <c r="H53" s="19"/>
      <c r="I53" s="19"/>
    </row>
    <row r="54" spans="1:9">
      <c r="A54" s="19"/>
      <c r="B54" s="19"/>
      <c r="C54" s="19"/>
      <c r="D54" s="19"/>
      <c r="E54" s="20"/>
      <c r="F54" s="20"/>
      <c r="G54" s="19"/>
      <c r="H54" s="19"/>
      <c r="I54" s="19"/>
    </row>
    <row r="55" spans="1:9">
      <c r="A55" s="19"/>
      <c r="B55" s="19"/>
      <c r="C55" s="19"/>
      <c r="D55" s="19"/>
      <c r="E55" s="20"/>
      <c r="F55" s="20"/>
      <c r="G55" s="19"/>
      <c r="H55" s="19"/>
      <c r="I55" s="19"/>
    </row>
    <row r="56" spans="1:9">
      <c r="A56" s="19"/>
      <c r="B56" s="19"/>
      <c r="C56" s="19"/>
      <c r="D56" s="19"/>
      <c r="E56" s="20"/>
      <c r="F56" s="20"/>
      <c r="G56" s="19"/>
      <c r="H56" s="19"/>
      <c r="I56" s="19"/>
    </row>
    <row r="57" spans="1:9">
      <c r="A57" s="19"/>
      <c r="B57" s="19"/>
      <c r="C57" s="19"/>
      <c r="D57" s="19"/>
      <c r="E57" s="20"/>
      <c r="F57" s="20"/>
      <c r="G57" s="19"/>
      <c r="H57" s="19"/>
      <c r="I57" s="19"/>
    </row>
    <row r="58" spans="1:9">
      <c r="A58" s="19"/>
      <c r="B58" s="19"/>
      <c r="C58" s="19"/>
      <c r="D58" s="19"/>
      <c r="E58" s="20"/>
      <c r="F58" s="20"/>
      <c r="G58" s="19"/>
      <c r="H58" s="19"/>
      <c r="I58" s="19"/>
    </row>
    <row r="59" spans="1:9">
      <c r="A59" s="19"/>
      <c r="B59" s="19"/>
      <c r="C59" s="19"/>
      <c r="D59" s="19"/>
      <c r="E59" s="20"/>
      <c r="F59" s="20"/>
      <c r="G59" s="19"/>
      <c r="H59" s="19"/>
      <c r="I59" s="19"/>
    </row>
    <row r="60" spans="1:9">
      <c r="A60" s="19"/>
      <c r="B60" s="19"/>
      <c r="C60" s="19"/>
      <c r="D60" s="19"/>
      <c r="E60" s="20"/>
      <c r="F60" s="20"/>
      <c r="G60" s="19"/>
      <c r="H60" s="19"/>
      <c r="I60" s="19"/>
    </row>
    <row r="61" spans="1:9">
      <c r="A61" s="19"/>
      <c r="B61" s="19"/>
      <c r="C61" s="19"/>
      <c r="D61" s="19"/>
      <c r="E61" s="20"/>
      <c r="F61" s="20"/>
      <c r="G61" s="19"/>
      <c r="H61" s="19"/>
      <c r="I61" s="19"/>
    </row>
    <row r="62" spans="1:9">
      <c r="A62" s="19"/>
      <c r="B62" s="19"/>
      <c r="C62" s="19"/>
      <c r="D62" s="19"/>
      <c r="E62" s="20"/>
      <c r="F62" s="20"/>
      <c r="G62" s="19"/>
      <c r="H62" s="19"/>
      <c r="I62" s="19"/>
    </row>
    <row r="63" spans="1:9">
      <c r="A63" s="19"/>
      <c r="B63" s="19"/>
      <c r="C63" s="19"/>
      <c r="D63" s="19"/>
      <c r="E63" s="20"/>
      <c r="F63" s="20"/>
      <c r="G63" s="19"/>
      <c r="H63" s="19"/>
      <c r="I63" s="19"/>
    </row>
    <row r="64" spans="1:9">
      <c r="A64" s="19"/>
      <c r="B64" s="19"/>
      <c r="C64" s="19"/>
      <c r="D64" s="19"/>
      <c r="E64" s="20"/>
      <c r="F64" s="20"/>
      <c r="G64" s="19"/>
      <c r="H64" s="19"/>
      <c r="I64" s="19"/>
    </row>
    <row r="65" spans="1:9">
      <c r="A65" s="19"/>
      <c r="B65" s="19"/>
      <c r="C65" s="19"/>
      <c r="D65" s="19"/>
      <c r="E65" s="20"/>
      <c r="F65" s="20"/>
      <c r="G65" s="19"/>
      <c r="H65" s="19"/>
      <c r="I65" s="19"/>
    </row>
    <row r="66" spans="1:9">
      <c r="A66" s="19"/>
      <c r="B66" s="19"/>
      <c r="C66" s="19"/>
      <c r="D66" s="19"/>
      <c r="E66" s="20"/>
      <c r="F66" s="20"/>
      <c r="G66" s="19"/>
      <c r="H66" s="19"/>
      <c r="I66" s="19"/>
    </row>
    <row r="67" spans="1:9">
      <c r="A67" s="19"/>
      <c r="B67" s="19"/>
      <c r="C67" s="19"/>
      <c r="D67" s="19"/>
      <c r="E67" s="20"/>
      <c r="F67" s="20"/>
      <c r="G67" s="19"/>
      <c r="H67" s="19"/>
      <c r="I67" s="19"/>
    </row>
    <row r="68" spans="1:9">
      <c r="A68" s="19"/>
      <c r="B68" s="19"/>
      <c r="C68" s="19"/>
      <c r="D68" s="19"/>
      <c r="E68" s="20"/>
      <c r="F68" s="20"/>
      <c r="G68" s="19"/>
      <c r="H68" s="19"/>
      <c r="I68" s="19"/>
    </row>
    <row r="69" spans="1:9">
      <c r="A69" s="19"/>
      <c r="B69" s="19"/>
      <c r="C69" s="19"/>
      <c r="D69" s="19"/>
      <c r="E69" s="20"/>
      <c r="F69" s="20"/>
      <c r="G69" s="19"/>
      <c r="H69" s="19"/>
      <c r="I69" s="19"/>
    </row>
    <row r="70" spans="1:9">
      <c r="A70" s="19"/>
      <c r="B70" s="19"/>
      <c r="C70" s="19"/>
      <c r="D70" s="19"/>
      <c r="E70" s="20"/>
      <c r="F70" s="20"/>
      <c r="G70" s="19"/>
      <c r="H70" s="19"/>
      <c r="I70" s="19"/>
    </row>
    <row r="71" spans="1:9">
      <c r="A71" s="19"/>
      <c r="B71" s="19"/>
      <c r="C71" s="19"/>
      <c r="D71" s="19"/>
      <c r="E71" s="20"/>
      <c r="F71" s="20"/>
      <c r="G71" s="19"/>
      <c r="H71" s="19"/>
      <c r="I71" s="19"/>
    </row>
    <row r="72" spans="1:9">
      <c r="A72" s="19"/>
      <c r="B72" s="19"/>
      <c r="C72" s="19"/>
      <c r="D72" s="19"/>
      <c r="E72" s="20"/>
      <c r="F72" s="20"/>
      <c r="G72" s="19"/>
      <c r="H72" s="19"/>
      <c r="I72" s="19"/>
    </row>
    <row r="73" spans="1:9">
      <c r="A73" s="19"/>
      <c r="B73" s="19"/>
      <c r="C73" s="19"/>
      <c r="D73" s="19"/>
      <c r="E73" s="20"/>
      <c r="F73" s="20"/>
      <c r="G73" s="19"/>
      <c r="H73" s="19"/>
      <c r="I73" s="19"/>
    </row>
    <row r="74" spans="1:9">
      <c r="A74" s="19"/>
      <c r="B74" s="19"/>
      <c r="C74" s="19"/>
      <c r="D74" s="19"/>
      <c r="E74" s="20"/>
      <c r="F74" s="20"/>
      <c r="G74" s="19"/>
      <c r="H74" s="19"/>
      <c r="I74" s="19"/>
    </row>
    <row r="75" spans="1:9">
      <c r="A75" s="19"/>
      <c r="B75" s="19"/>
      <c r="C75" s="19"/>
      <c r="D75" s="19"/>
      <c r="E75" s="20"/>
      <c r="F75" s="20"/>
      <c r="G75" s="19"/>
      <c r="H75" s="19"/>
      <c r="I75" s="19"/>
    </row>
    <row r="76" spans="1:9">
      <c r="A76" s="19"/>
      <c r="B76" s="19"/>
      <c r="C76" s="19"/>
      <c r="D76" s="19"/>
      <c r="E76" s="20"/>
      <c r="F76" s="20"/>
      <c r="G76" s="19"/>
      <c r="H76" s="19"/>
      <c r="I76" s="19"/>
    </row>
    <row r="77" spans="1:9">
      <c r="A77" s="19"/>
      <c r="B77" s="19"/>
      <c r="C77" s="19"/>
      <c r="D77" s="19"/>
      <c r="E77" s="20"/>
      <c r="F77" s="20"/>
      <c r="G77" s="19"/>
      <c r="H77" s="19"/>
      <c r="I77" s="19"/>
    </row>
    <row r="78" spans="1:9">
      <c r="A78" s="19"/>
      <c r="B78" s="19"/>
      <c r="C78" s="19"/>
      <c r="D78" s="19"/>
      <c r="E78" s="20"/>
      <c r="F78" s="20"/>
      <c r="G78" s="19"/>
      <c r="H78" s="19"/>
      <c r="I78" s="19"/>
    </row>
    <row r="79" spans="1:9">
      <c r="A79" s="19"/>
      <c r="B79" s="19"/>
      <c r="C79" s="19"/>
      <c r="D79" s="19"/>
      <c r="E79" s="20"/>
      <c r="F79" s="20"/>
      <c r="G79" s="19"/>
      <c r="H79" s="19"/>
      <c r="I79" s="19"/>
    </row>
    <row r="80" spans="1:9">
      <c r="A80" s="19"/>
      <c r="B80" s="19"/>
      <c r="C80" s="19"/>
      <c r="D80" s="19"/>
      <c r="E80" s="20"/>
      <c r="F80" s="20"/>
      <c r="G80" s="19"/>
      <c r="H80" s="19"/>
      <c r="I80" s="19"/>
    </row>
    <row r="81" spans="1:9">
      <c r="A81" s="19"/>
      <c r="B81" s="19"/>
      <c r="C81" s="19"/>
      <c r="D81" s="19"/>
      <c r="E81" s="20"/>
      <c r="F81" s="20"/>
      <c r="G81" s="19"/>
      <c r="H81" s="19"/>
      <c r="I81" s="19"/>
    </row>
    <row r="82" spans="1:9">
      <c r="A82" s="19"/>
      <c r="B82" s="19"/>
      <c r="C82" s="19"/>
      <c r="D82" s="19"/>
      <c r="E82" s="20"/>
      <c r="F82" s="20"/>
      <c r="G82" s="19"/>
      <c r="H82" s="19"/>
      <c r="I82" s="19"/>
    </row>
    <row r="83" spans="1:9">
      <c r="A83" s="19"/>
      <c r="B83" s="19"/>
      <c r="C83" s="19"/>
      <c r="D83" s="19"/>
      <c r="E83" s="20"/>
      <c r="F83" s="20"/>
      <c r="G83" s="19"/>
      <c r="H83" s="19"/>
      <c r="I83" s="19"/>
    </row>
    <row r="84" spans="1:9">
      <c r="A84" s="19"/>
      <c r="B84" s="19"/>
      <c r="C84" s="19"/>
      <c r="D84" s="19"/>
      <c r="E84" s="20"/>
      <c r="F84" s="20"/>
      <c r="G84" s="19"/>
      <c r="H84" s="19"/>
      <c r="I84" s="19"/>
    </row>
    <row r="85" spans="1:9">
      <c r="A85" s="19"/>
      <c r="B85" s="19"/>
      <c r="C85" s="19"/>
      <c r="D85" s="19"/>
      <c r="E85" s="20"/>
      <c r="F85" s="20"/>
      <c r="G85" s="19"/>
      <c r="H85" s="19"/>
      <c r="I85" s="19"/>
    </row>
    <row r="86" spans="1:9">
      <c r="A86" s="19"/>
      <c r="B86" s="19"/>
      <c r="C86" s="19"/>
      <c r="D86" s="19"/>
      <c r="E86" s="20"/>
      <c r="F86" s="20"/>
      <c r="G86" s="19"/>
      <c r="H86" s="19"/>
      <c r="I86" s="19"/>
    </row>
    <row r="87" spans="1:9">
      <c r="A87" s="19"/>
      <c r="B87" s="19"/>
      <c r="C87" s="19"/>
      <c r="D87" s="19"/>
      <c r="E87" s="20"/>
      <c r="F87" s="20"/>
      <c r="G87" s="19"/>
      <c r="H87" s="19"/>
      <c r="I87" s="19"/>
    </row>
    <row r="88" spans="1:9">
      <c r="A88" s="19"/>
      <c r="B88" s="19"/>
      <c r="C88" s="19"/>
      <c r="D88" s="19"/>
      <c r="E88" s="20"/>
      <c r="F88" s="20"/>
      <c r="G88" s="19"/>
      <c r="H88" s="19"/>
      <c r="I88" s="19"/>
    </row>
    <row r="89" spans="1:9">
      <c r="A89" s="19"/>
      <c r="B89" s="19"/>
      <c r="C89" s="19"/>
      <c r="D89" s="19"/>
      <c r="E89" s="20"/>
      <c r="F89" s="20"/>
      <c r="G89" s="19"/>
      <c r="H89" s="19"/>
      <c r="I89" s="19"/>
    </row>
    <row r="90" spans="1:9">
      <c r="A90" s="19"/>
      <c r="B90" s="19"/>
      <c r="C90" s="19"/>
      <c r="D90" s="19"/>
      <c r="E90" s="20"/>
      <c r="F90" s="20"/>
      <c r="G90" s="19"/>
      <c r="H90" s="19"/>
      <c r="I90" s="19"/>
    </row>
    <row r="91" spans="1:9">
      <c r="A91" s="19"/>
      <c r="B91" s="19"/>
      <c r="C91" s="19"/>
      <c r="D91" s="19"/>
      <c r="E91" s="20"/>
      <c r="F91" s="20"/>
      <c r="G91" s="19"/>
      <c r="H91" s="19"/>
      <c r="I91" s="19"/>
    </row>
    <row r="92" spans="1:9">
      <c r="A92" s="19"/>
      <c r="B92" s="19"/>
      <c r="C92" s="19"/>
      <c r="D92" s="19"/>
      <c r="E92" s="20"/>
      <c r="F92" s="20"/>
      <c r="G92" s="19"/>
      <c r="H92" s="19"/>
      <c r="I92" s="19"/>
    </row>
    <row r="93" spans="1:9">
      <c r="A93" s="19"/>
      <c r="B93" s="19"/>
      <c r="C93" s="19"/>
      <c r="D93" s="19"/>
      <c r="E93" s="20"/>
      <c r="F93" s="20"/>
      <c r="G93" s="19"/>
      <c r="H93" s="19"/>
      <c r="I93" s="19"/>
    </row>
    <row r="94" spans="1:9">
      <c r="A94" s="19"/>
      <c r="B94" s="19"/>
      <c r="C94" s="19"/>
      <c r="D94" s="19"/>
      <c r="E94" s="20"/>
      <c r="F94" s="20"/>
      <c r="G94" s="19"/>
      <c r="H94" s="19"/>
      <c r="I94" s="19"/>
    </row>
    <row r="95" spans="1:9">
      <c r="A95" s="19"/>
      <c r="B95" s="19"/>
      <c r="C95" s="19"/>
      <c r="D95" s="19"/>
      <c r="E95" s="20"/>
      <c r="F95" s="20"/>
      <c r="G95" s="19"/>
      <c r="H95" s="19"/>
      <c r="I95" s="19"/>
    </row>
    <row r="96" spans="1:9">
      <c r="A96" s="19"/>
      <c r="B96" s="19"/>
      <c r="C96" s="19"/>
      <c r="D96" s="19"/>
      <c r="E96" s="20"/>
      <c r="F96" s="20"/>
      <c r="G96" s="19"/>
      <c r="H96" s="19"/>
      <c r="I96" s="19"/>
    </row>
    <row r="97" spans="1:9">
      <c r="A97" s="19"/>
      <c r="B97" s="19"/>
      <c r="C97" s="19"/>
      <c r="D97" s="19"/>
      <c r="E97" s="20"/>
      <c r="F97" s="20"/>
      <c r="G97" s="19"/>
      <c r="H97" s="19"/>
      <c r="I97" s="19"/>
    </row>
    <row r="98" spans="1:9">
      <c r="A98" s="19"/>
      <c r="B98" s="19"/>
      <c r="C98" s="19"/>
      <c r="D98" s="19"/>
      <c r="E98" s="20"/>
      <c r="F98" s="20"/>
      <c r="G98" s="19"/>
      <c r="H98" s="19"/>
      <c r="I98" s="19"/>
    </row>
    <row r="99" spans="1:9">
      <c r="A99" s="19"/>
      <c r="B99" s="19"/>
      <c r="C99" s="19"/>
      <c r="D99" s="19"/>
      <c r="E99" s="20"/>
      <c r="F99" s="20"/>
      <c r="G99" s="19"/>
      <c r="H99" s="19"/>
      <c r="I99" s="19"/>
    </row>
    <row r="100" spans="1:9">
      <c r="A100" s="19"/>
      <c r="B100" s="19"/>
      <c r="C100" s="19"/>
      <c r="D100" s="19"/>
      <c r="E100" s="20"/>
      <c r="F100" s="20"/>
      <c r="G100" s="19"/>
      <c r="H100" s="19"/>
      <c r="I100" s="19"/>
    </row>
    <row r="101" spans="1:9">
      <c r="A101" s="19"/>
      <c r="B101" s="19"/>
      <c r="C101" s="19"/>
      <c r="D101" s="19"/>
      <c r="E101" s="20"/>
      <c r="F101" s="20"/>
      <c r="G101" s="19"/>
      <c r="H101" s="19"/>
      <c r="I101" s="19"/>
    </row>
    <row r="102" spans="1:9">
      <c r="A102" s="19"/>
      <c r="B102" s="19"/>
      <c r="C102" s="19"/>
      <c r="D102" s="19"/>
      <c r="E102" s="20"/>
      <c r="F102" s="20"/>
      <c r="G102" s="19"/>
      <c r="H102" s="19"/>
      <c r="I102" s="19"/>
    </row>
    <row r="103" spans="1:9">
      <c r="A103" s="19"/>
      <c r="B103" s="19"/>
      <c r="C103" s="19"/>
      <c r="D103" s="19"/>
      <c r="E103" s="20"/>
      <c r="F103" s="20"/>
      <c r="G103" s="19"/>
      <c r="H103" s="19"/>
      <c r="I103" s="19"/>
    </row>
    <row r="104" spans="1:9">
      <c r="A104" s="19"/>
      <c r="B104" s="19"/>
      <c r="C104" s="19"/>
      <c r="D104" s="19"/>
      <c r="E104" s="20"/>
      <c r="F104" s="20"/>
      <c r="G104" s="19"/>
      <c r="H104" s="19"/>
      <c r="I104" s="19"/>
    </row>
    <row r="105" spans="1:9">
      <c r="A105" s="19"/>
      <c r="B105" s="19"/>
      <c r="C105" s="19"/>
      <c r="D105" s="19"/>
      <c r="E105" s="20"/>
      <c r="F105" s="20"/>
      <c r="G105" s="19"/>
      <c r="H105" s="19"/>
      <c r="I105" s="19"/>
    </row>
    <row r="106" spans="1:9">
      <c r="A106" s="19"/>
      <c r="B106" s="19"/>
      <c r="C106" s="19"/>
      <c r="D106" s="19"/>
      <c r="E106" s="20"/>
      <c r="F106" s="20"/>
      <c r="G106" s="19"/>
      <c r="H106" s="19"/>
      <c r="I106" s="19"/>
    </row>
    <row r="107" spans="1:9">
      <c r="A107" s="19"/>
      <c r="B107" s="19"/>
      <c r="C107" s="19"/>
      <c r="D107" s="19"/>
      <c r="E107" s="20"/>
      <c r="F107" s="20"/>
      <c r="G107" s="19"/>
      <c r="H107" s="19"/>
      <c r="I107" s="19"/>
    </row>
    <row r="108" spans="1:9">
      <c r="A108" s="19"/>
      <c r="B108" s="19"/>
      <c r="C108" s="19"/>
      <c r="D108" s="19"/>
      <c r="E108" s="20"/>
      <c r="F108" s="20"/>
      <c r="G108" s="19"/>
      <c r="H108" s="19"/>
      <c r="I108" s="19"/>
    </row>
    <row r="109" spans="1:9">
      <c r="A109" s="19"/>
      <c r="B109" s="19"/>
      <c r="C109" s="19"/>
      <c r="D109" s="19"/>
      <c r="E109" s="20"/>
      <c r="F109" s="20"/>
      <c r="G109" s="19"/>
      <c r="H109" s="19"/>
      <c r="I109" s="19"/>
    </row>
    <row r="110" spans="1:9">
      <c r="A110" s="19"/>
      <c r="B110" s="19"/>
      <c r="C110" s="19"/>
      <c r="D110" s="19"/>
      <c r="E110" s="20"/>
      <c r="F110" s="20"/>
      <c r="G110" s="19"/>
      <c r="H110" s="19"/>
      <c r="I110" s="19"/>
    </row>
    <row r="111" spans="1:9">
      <c r="A111" s="19"/>
      <c r="B111" s="19"/>
      <c r="C111" s="19"/>
      <c r="D111" s="19"/>
      <c r="E111" s="20"/>
      <c r="F111" s="20"/>
      <c r="G111" s="19"/>
      <c r="H111" s="19"/>
      <c r="I111" s="19"/>
    </row>
    <row r="112" spans="1:9">
      <c r="A112" s="19"/>
      <c r="B112" s="19"/>
      <c r="C112" s="19"/>
      <c r="D112" s="19"/>
      <c r="E112" s="20"/>
      <c r="F112" s="20"/>
      <c r="G112" s="19"/>
      <c r="H112" s="19"/>
      <c r="I112" s="19"/>
    </row>
    <row r="113" spans="1:9">
      <c r="A113" s="19"/>
      <c r="B113" s="19"/>
      <c r="C113" s="19"/>
      <c r="D113" s="19"/>
      <c r="E113" s="20"/>
      <c r="F113" s="20"/>
      <c r="G113" s="19"/>
      <c r="H113" s="19"/>
      <c r="I113" s="19"/>
    </row>
    <row r="114" spans="1:9">
      <c r="A114" s="19"/>
      <c r="B114" s="19"/>
      <c r="C114" s="19"/>
      <c r="D114" s="19"/>
      <c r="E114" s="20"/>
      <c r="F114" s="20"/>
      <c r="G114" s="19"/>
      <c r="H114" s="19"/>
      <c r="I114" s="19"/>
    </row>
    <row r="115" spans="1:9">
      <c r="A115" s="19"/>
      <c r="B115" s="19"/>
      <c r="C115" s="19"/>
      <c r="D115" s="19"/>
      <c r="E115" s="20"/>
      <c r="F115" s="20"/>
      <c r="G115" s="19"/>
      <c r="H115" s="19"/>
      <c r="I115" s="19"/>
    </row>
    <row r="116" spans="1:9">
      <c r="A116" s="19"/>
      <c r="B116" s="19"/>
      <c r="C116" s="19"/>
      <c r="D116" s="19"/>
      <c r="E116" s="20"/>
      <c r="F116" s="20"/>
      <c r="G116" s="19"/>
      <c r="H116" s="19"/>
      <c r="I116" s="19"/>
    </row>
    <row r="117" spans="1:9">
      <c r="A117" s="19"/>
      <c r="B117" s="19"/>
      <c r="C117" s="19"/>
      <c r="D117" s="19"/>
      <c r="E117" s="20"/>
      <c r="F117" s="20"/>
      <c r="G117" s="19"/>
      <c r="H117" s="19"/>
      <c r="I117" s="19"/>
    </row>
    <row r="118" spans="1:9">
      <c r="A118" s="19"/>
      <c r="B118" s="19"/>
      <c r="C118" s="19"/>
      <c r="D118" s="19"/>
      <c r="E118" s="20"/>
      <c r="F118" s="20"/>
      <c r="G118" s="19"/>
      <c r="H118" s="19"/>
      <c r="I118" s="19"/>
    </row>
    <row r="119" spans="1:9">
      <c r="A119" s="19"/>
      <c r="B119" s="19"/>
      <c r="C119" s="19"/>
      <c r="D119" s="19"/>
      <c r="E119" s="20"/>
      <c r="F119" s="20"/>
      <c r="G119" s="19"/>
      <c r="H119" s="19"/>
      <c r="I119" s="19"/>
    </row>
    <row r="120" spans="1:9">
      <c r="A120" s="19"/>
      <c r="B120" s="19"/>
      <c r="C120" s="19"/>
      <c r="D120" s="19"/>
      <c r="E120" s="20"/>
      <c r="F120" s="20"/>
      <c r="G120" s="19"/>
      <c r="H120" s="19"/>
      <c r="I120" s="19"/>
    </row>
    <row r="121" spans="1:9">
      <c r="A121" s="19"/>
      <c r="B121" s="19"/>
      <c r="C121" s="19"/>
      <c r="D121" s="19"/>
      <c r="E121" s="20"/>
      <c r="F121" s="20"/>
      <c r="G121" s="19"/>
      <c r="H121" s="19"/>
      <c r="I121" s="19"/>
    </row>
    <row r="122" spans="1:9">
      <c r="A122" s="19"/>
      <c r="B122" s="19"/>
      <c r="C122" s="19"/>
      <c r="D122" s="19"/>
      <c r="E122" s="20"/>
      <c r="F122" s="20"/>
      <c r="G122" s="19"/>
      <c r="H122" s="19"/>
      <c r="I122" s="19"/>
    </row>
    <row r="123" spans="1:9">
      <c r="A123" s="19"/>
      <c r="B123" s="19"/>
      <c r="C123" s="19"/>
      <c r="D123" s="19"/>
      <c r="E123" s="20"/>
      <c r="F123" s="20"/>
      <c r="G123" s="19"/>
      <c r="H123" s="19"/>
      <c r="I123" s="19"/>
    </row>
    <row r="124" spans="1:9">
      <c r="A124" s="19"/>
      <c r="B124" s="19"/>
      <c r="C124" s="19"/>
      <c r="D124" s="19"/>
      <c r="E124" s="20"/>
      <c r="F124" s="20"/>
      <c r="G124" s="19"/>
      <c r="H124" s="19"/>
      <c r="I124" s="19"/>
    </row>
    <row r="125" spans="1:9">
      <c r="A125" s="19"/>
      <c r="B125" s="19"/>
      <c r="C125" s="19"/>
      <c r="D125" s="19"/>
      <c r="E125" s="20"/>
      <c r="F125" s="20"/>
      <c r="G125" s="19"/>
      <c r="H125" s="19"/>
      <c r="I125" s="19"/>
    </row>
    <row r="126" spans="1:9">
      <c r="A126" s="19"/>
      <c r="B126" s="19"/>
      <c r="C126" s="19"/>
      <c r="D126" s="19"/>
      <c r="E126" s="20"/>
      <c r="F126" s="20"/>
      <c r="G126" s="19"/>
      <c r="H126" s="19"/>
      <c r="I126" s="19"/>
    </row>
    <row r="127" spans="1:9">
      <c r="A127" s="19"/>
      <c r="B127" s="19"/>
      <c r="C127" s="19"/>
      <c r="D127" s="19"/>
      <c r="E127" s="20"/>
      <c r="F127" s="20"/>
      <c r="G127" s="19"/>
      <c r="H127" s="19"/>
      <c r="I127" s="19"/>
    </row>
    <row r="128" spans="1:9">
      <c r="A128" s="19"/>
      <c r="B128" s="19"/>
      <c r="C128" s="19"/>
      <c r="D128" s="19"/>
      <c r="E128" s="20"/>
      <c r="F128" s="20"/>
      <c r="G128" s="19"/>
      <c r="H128" s="19"/>
      <c r="I128" s="19"/>
    </row>
    <row r="129" spans="1:9">
      <c r="A129" s="19"/>
      <c r="B129" s="19"/>
      <c r="C129" s="19"/>
      <c r="D129" s="19"/>
      <c r="E129" s="20"/>
      <c r="F129" s="20"/>
      <c r="G129" s="19"/>
      <c r="H129" s="19"/>
      <c r="I129" s="19"/>
    </row>
    <row r="130" spans="1:9">
      <c r="A130" s="19"/>
      <c r="B130" s="19"/>
      <c r="C130" s="19"/>
      <c r="D130" s="19"/>
      <c r="E130" s="20"/>
      <c r="F130" s="20"/>
      <c r="G130" s="19"/>
      <c r="H130" s="19"/>
      <c r="I130" s="19"/>
    </row>
    <row r="131" spans="1:9">
      <c r="A131" s="19"/>
      <c r="B131" s="19"/>
      <c r="C131" s="19"/>
      <c r="D131" s="19"/>
      <c r="E131" s="20"/>
      <c r="F131" s="20"/>
      <c r="G131" s="19"/>
      <c r="H131" s="19"/>
      <c r="I131" s="19"/>
    </row>
    <row r="132" spans="1:9">
      <c r="A132" s="19"/>
      <c r="B132" s="19"/>
      <c r="C132" s="19"/>
      <c r="D132" s="19"/>
      <c r="E132" s="20"/>
      <c r="F132" s="20"/>
      <c r="G132" s="19"/>
      <c r="H132" s="19"/>
      <c r="I132" s="19"/>
    </row>
    <row r="133" spans="1:9">
      <c r="A133" s="19"/>
      <c r="B133" s="19"/>
      <c r="C133" s="19"/>
      <c r="D133" s="19"/>
      <c r="E133" s="20"/>
      <c r="F133" s="20"/>
      <c r="G133" s="19"/>
      <c r="H133" s="19"/>
      <c r="I133" s="19"/>
    </row>
    <row r="134" spans="1:9">
      <c r="A134" s="19"/>
      <c r="B134" s="19"/>
      <c r="C134" s="19"/>
      <c r="D134" s="19"/>
      <c r="E134" s="20"/>
      <c r="F134" s="20"/>
      <c r="G134" s="19"/>
      <c r="H134" s="19"/>
      <c r="I134" s="19"/>
    </row>
    <row r="135" spans="1:9">
      <c r="A135" s="19"/>
      <c r="B135" s="19"/>
      <c r="C135" s="19"/>
      <c r="D135" s="19"/>
      <c r="E135" s="20"/>
      <c r="F135" s="20"/>
      <c r="G135" s="19"/>
      <c r="H135" s="19"/>
      <c r="I135" s="19"/>
    </row>
    <row r="136" spans="1:9">
      <c r="A136" s="19"/>
      <c r="B136" s="19"/>
      <c r="C136" s="19"/>
      <c r="D136" s="19"/>
      <c r="E136" s="20"/>
      <c r="F136" s="20"/>
      <c r="G136" s="19"/>
      <c r="H136" s="19"/>
      <c r="I136" s="19"/>
    </row>
    <row r="137" spans="1:9">
      <c r="A137" s="19"/>
      <c r="B137" s="19"/>
      <c r="C137" s="19"/>
      <c r="D137" s="19"/>
      <c r="E137" s="20"/>
      <c r="F137" s="20"/>
      <c r="G137" s="19"/>
      <c r="H137" s="19"/>
      <c r="I137" s="19"/>
    </row>
    <row r="138" spans="1:9">
      <c r="A138" s="19"/>
      <c r="B138" s="19"/>
      <c r="C138" s="19"/>
      <c r="D138" s="19"/>
      <c r="E138" s="20"/>
      <c r="F138" s="20"/>
      <c r="G138" s="19"/>
      <c r="H138" s="19"/>
      <c r="I138" s="19"/>
    </row>
    <row r="139" spans="1:9">
      <c r="A139" s="19"/>
      <c r="B139" s="19"/>
      <c r="C139" s="19"/>
      <c r="D139" s="19"/>
      <c r="E139" s="20"/>
      <c r="F139" s="20"/>
      <c r="G139" s="19"/>
      <c r="H139" s="19"/>
      <c r="I139" s="19"/>
    </row>
    <row r="140" spans="1:9">
      <c r="A140" s="19"/>
      <c r="B140" s="19"/>
      <c r="C140" s="19"/>
      <c r="D140" s="19"/>
      <c r="E140" s="20"/>
      <c r="F140" s="20"/>
      <c r="G140" s="19"/>
      <c r="H140" s="19"/>
      <c r="I140" s="19"/>
    </row>
    <row r="141" spans="1:9">
      <c r="A141" s="19"/>
      <c r="B141" s="19"/>
      <c r="C141" s="19"/>
      <c r="D141" s="19"/>
      <c r="E141" s="20"/>
      <c r="F141" s="20"/>
      <c r="G141" s="19"/>
      <c r="H141" s="19"/>
      <c r="I141" s="19"/>
    </row>
    <row r="142" spans="1:9">
      <c r="A142" s="19"/>
      <c r="B142" s="19"/>
      <c r="C142" s="19"/>
      <c r="D142" s="19"/>
      <c r="E142" s="20"/>
      <c r="F142" s="20"/>
      <c r="G142" s="19"/>
      <c r="H142" s="19"/>
      <c r="I142" s="19"/>
    </row>
    <row r="143" spans="1:9">
      <c r="A143" s="19"/>
      <c r="B143" s="19"/>
      <c r="C143" s="19"/>
      <c r="D143" s="19"/>
      <c r="E143" s="20"/>
      <c r="F143" s="20"/>
      <c r="G143" s="19"/>
      <c r="H143" s="19"/>
      <c r="I143" s="19"/>
    </row>
    <row r="144" spans="1:9">
      <c r="A144" s="19"/>
      <c r="B144" s="19"/>
      <c r="C144" s="19"/>
      <c r="D144" s="19"/>
      <c r="E144" s="20"/>
      <c r="F144" s="20"/>
      <c r="G144" s="19"/>
      <c r="H144" s="19"/>
      <c r="I144" s="19"/>
    </row>
    <row r="145" spans="1:9">
      <c r="A145" s="19"/>
      <c r="B145" s="19"/>
      <c r="C145" s="19"/>
      <c r="D145" s="19"/>
      <c r="E145" s="20"/>
      <c r="F145" s="20"/>
      <c r="G145" s="19"/>
      <c r="H145" s="19"/>
      <c r="I145" s="19"/>
    </row>
    <row r="146" spans="1:9">
      <c r="A146" s="19"/>
      <c r="B146" s="19"/>
      <c r="C146" s="19"/>
      <c r="D146" s="19"/>
      <c r="E146" s="20"/>
      <c r="F146" s="20"/>
      <c r="G146" s="19"/>
      <c r="H146" s="19"/>
      <c r="I146" s="19"/>
    </row>
    <row r="147" spans="1:9">
      <c r="A147" s="19"/>
      <c r="B147" s="19"/>
      <c r="C147" s="19"/>
      <c r="D147" s="19"/>
      <c r="E147" s="20"/>
      <c r="F147" s="20"/>
      <c r="G147" s="19"/>
      <c r="H147" s="19"/>
      <c r="I147" s="19"/>
    </row>
    <row r="148" spans="1:9">
      <c r="A148" s="19"/>
      <c r="B148" s="19"/>
      <c r="C148" s="19"/>
      <c r="D148" s="19"/>
      <c r="E148" s="20"/>
      <c r="F148" s="20"/>
      <c r="G148" s="19"/>
      <c r="H148" s="19"/>
      <c r="I148" s="19"/>
    </row>
    <row r="149" spans="1:9">
      <c r="A149" s="19"/>
      <c r="B149" s="19"/>
      <c r="C149" s="19"/>
      <c r="D149" s="19"/>
      <c r="E149" s="20"/>
      <c r="F149" s="20"/>
      <c r="G149" s="19"/>
      <c r="H149" s="19"/>
      <c r="I149" s="19"/>
    </row>
    <row r="150" spans="1:9">
      <c r="A150" s="19"/>
      <c r="B150" s="19"/>
      <c r="C150" s="19"/>
      <c r="D150" s="19"/>
      <c r="E150" s="20"/>
      <c r="F150" s="20"/>
      <c r="G150" s="19"/>
      <c r="H150" s="19"/>
      <c r="I150" s="19"/>
    </row>
    <row r="151" spans="1:9">
      <c r="A151" s="19"/>
      <c r="B151" s="19"/>
      <c r="C151" s="19"/>
      <c r="D151" s="19"/>
      <c r="E151" s="20"/>
      <c r="F151" s="20"/>
      <c r="G151" s="19"/>
      <c r="H151" s="19"/>
      <c r="I151" s="19"/>
    </row>
    <row r="152" spans="1:9">
      <c r="A152" s="19"/>
      <c r="B152" s="19"/>
      <c r="C152" s="19"/>
      <c r="D152" s="19"/>
      <c r="E152" s="20"/>
      <c r="F152" s="20"/>
      <c r="G152" s="19"/>
      <c r="H152" s="19"/>
      <c r="I152" s="19"/>
    </row>
    <row r="153" spans="1:9">
      <c r="A153" s="19"/>
      <c r="B153" s="19"/>
      <c r="C153" s="19"/>
      <c r="D153" s="19"/>
      <c r="E153" s="20"/>
      <c r="F153" s="20"/>
      <c r="G153" s="19"/>
      <c r="H153" s="19"/>
      <c r="I153" s="19"/>
    </row>
    <row r="154" spans="1:9">
      <c r="A154" s="19"/>
      <c r="B154" s="19"/>
      <c r="C154" s="19"/>
      <c r="D154" s="19"/>
      <c r="E154" s="20"/>
      <c r="F154" s="20"/>
      <c r="G154" s="19"/>
      <c r="H154" s="19"/>
      <c r="I154" s="19"/>
    </row>
    <row r="155" spans="1:9">
      <c r="A155" s="19"/>
      <c r="B155" s="19"/>
      <c r="C155" s="19"/>
      <c r="D155" s="19"/>
      <c r="E155" s="20"/>
      <c r="F155" s="20"/>
      <c r="G155" s="19"/>
      <c r="H155" s="19"/>
      <c r="I155" s="19"/>
    </row>
    <row r="156" spans="1:9">
      <c r="A156" s="19"/>
      <c r="B156" s="19"/>
      <c r="C156" s="19"/>
      <c r="D156" s="19"/>
      <c r="E156" s="20"/>
      <c r="F156" s="20"/>
      <c r="G156" s="19"/>
      <c r="H156" s="19"/>
      <c r="I156" s="19"/>
    </row>
    <row r="157" spans="1:9">
      <c r="A157" s="19"/>
      <c r="B157" s="19"/>
      <c r="C157" s="19"/>
      <c r="D157" s="19"/>
      <c r="E157" s="20"/>
      <c r="F157" s="20"/>
      <c r="G157" s="19"/>
      <c r="H157" s="19"/>
      <c r="I157" s="19"/>
    </row>
    <row r="158" spans="1:9">
      <c r="A158" s="19"/>
      <c r="B158" s="19"/>
      <c r="C158" s="19"/>
      <c r="D158" s="19"/>
      <c r="E158" s="20"/>
      <c r="F158" s="20"/>
      <c r="G158" s="19"/>
      <c r="H158" s="19"/>
      <c r="I158" s="19"/>
    </row>
    <row r="159" spans="1:9">
      <c r="A159" s="19"/>
      <c r="B159" s="19"/>
      <c r="C159" s="19"/>
      <c r="D159" s="19"/>
      <c r="E159" s="20"/>
      <c r="F159" s="20"/>
      <c r="G159" s="19"/>
      <c r="H159" s="19"/>
      <c r="I159" s="19"/>
    </row>
    <row r="160" spans="1:9">
      <c r="A160" s="19"/>
      <c r="B160" s="19"/>
      <c r="C160" s="19"/>
      <c r="D160" s="19"/>
      <c r="E160" s="20"/>
      <c r="F160" s="20"/>
      <c r="G160" s="19"/>
      <c r="H160" s="19"/>
      <c r="I160" s="19"/>
    </row>
    <row r="161" spans="1:9">
      <c r="A161" s="19"/>
      <c r="B161" s="19"/>
      <c r="C161" s="19"/>
      <c r="D161" s="19"/>
      <c r="E161" s="20"/>
      <c r="F161" s="20"/>
      <c r="G161" s="19"/>
      <c r="H161" s="19"/>
      <c r="I161" s="19"/>
    </row>
    <row r="162" spans="1:9">
      <c r="A162" s="19"/>
      <c r="B162" s="19"/>
      <c r="C162" s="19"/>
      <c r="D162" s="19"/>
      <c r="E162" s="20"/>
      <c r="F162" s="20"/>
      <c r="G162" s="19"/>
      <c r="H162" s="19"/>
      <c r="I162" s="19"/>
    </row>
    <row r="163" spans="1:9">
      <c r="A163" s="19"/>
      <c r="B163" s="19"/>
      <c r="C163" s="19"/>
      <c r="D163" s="19"/>
      <c r="E163" s="20"/>
      <c r="F163" s="20"/>
      <c r="G163" s="19"/>
      <c r="H163" s="19"/>
      <c r="I163" s="19"/>
    </row>
    <row r="164" spans="1:9">
      <c r="A164" s="19"/>
      <c r="B164" s="19"/>
      <c r="C164" s="19"/>
      <c r="D164" s="19"/>
      <c r="E164" s="20"/>
      <c r="F164" s="20"/>
      <c r="G164" s="19"/>
      <c r="H164" s="19"/>
      <c r="I164" s="19"/>
    </row>
    <row r="165" spans="1:9">
      <c r="A165" s="19"/>
      <c r="B165" s="19"/>
      <c r="C165" s="19"/>
      <c r="D165" s="19"/>
      <c r="E165" s="20"/>
      <c r="F165" s="20"/>
      <c r="G165" s="19"/>
      <c r="H165" s="19"/>
      <c r="I165" s="19"/>
    </row>
    <row r="166" spans="1:9">
      <c r="A166" s="19"/>
      <c r="B166" s="19"/>
      <c r="C166" s="19"/>
      <c r="D166" s="19"/>
      <c r="E166" s="20"/>
      <c r="F166" s="20"/>
      <c r="G166" s="19"/>
      <c r="H166" s="19"/>
      <c r="I166" s="19"/>
    </row>
    <row r="167" spans="1:9">
      <c r="A167" s="19"/>
      <c r="B167" s="19"/>
      <c r="C167" s="19"/>
      <c r="D167" s="19"/>
      <c r="E167" s="20"/>
      <c r="F167" s="20"/>
      <c r="G167" s="19"/>
      <c r="H167" s="19"/>
      <c r="I167" s="19"/>
    </row>
    <row r="168" spans="1:9">
      <c r="A168" s="19"/>
      <c r="B168" s="19"/>
      <c r="C168" s="19"/>
      <c r="D168" s="19"/>
      <c r="E168" s="20"/>
      <c r="F168" s="20"/>
      <c r="G168" s="19"/>
      <c r="H168" s="19"/>
      <c r="I168" s="19"/>
    </row>
    <row r="169" spans="1:9">
      <c r="A169" s="19"/>
      <c r="B169" s="19"/>
      <c r="C169" s="19"/>
      <c r="D169" s="19"/>
      <c r="E169" s="20"/>
      <c r="F169" s="20"/>
      <c r="G169" s="19"/>
      <c r="H169" s="19"/>
      <c r="I169" s="19"/>
    </row>
    <row r="170" spans="1:9">
      <c r="A170" s="19"/>
      <c r="B170" s="19"/>
      <c r="C170" s="19"/>
      <c r="D170" s="19"/>
      <c r="E170" s="20"/>
      <c r="F170" s="20"/>
      <c r="G170" s="19"/>
      <c r="H170" s="19"/>
      <c r="I170" s="19"/>
    </row>
    <row r="171" spans="1:9">
      <c r="A171" s="19"/>
      <c r="B171" s="19"/>
      <c r="C171" s="19"/>
      <c r="D171" s="19"/>
      <c r="E171" s="20"/>
      <c r="F171" s="20"/>
      <c r="G171" s="19"/>
      <c r="H171" s="19"/>
      <c r="I171" s="19"/>
    </row>
    <row r="172" spans="1:9">
      <c r="A172" s="19"/>
      <c r="B172" s="19"/>
      <c r="C172" s="19"/>
      <c r="D172" s="19"/>
      <c r="E172" s="20"/>
      <c r="F172" s="20"/>
      <c r="G172" s="19"/>
      <c r="H172" s="19"/>
      <c r="I172" s="19"/>
    </row>
    <row r="173" spans="1:9">
      <c r="A173" s="19"/>
      <c r="B173" s="19"/>
      <c r="C173" s="19"/>
      <c r="D173" s="19"/>
      <c r="E173" s="20"/>
      <c r="F173" s="20"/>
      <c r="G173" s="19"/>
      <c r="H173" s="19"/>
      <c r="I173" s="19"/>
    </row>
    <row r="174" spans="1:9">
      <c r="A174" s="19"/>
      <c r="B174" s="19"/>
      <c r="C174" s="19"/>
      <c r="D174" s="19"/>
      <c r="E174" s="20"/>
      <c r="F174" s="20"/>
      <c r="G174" s="19"/>
      <c r="H174" s="19"/>
      <c r="I174" s="19"/>
    </row>
    <row r="175" spans="1:9">
      <c r="A175" s="19"/>
      <c r="B175" s="19"/>
      <c r="C175" s="19"/>
      <c r="D175" s="19"/>
      <c r="E175" s="20"/>
      <c r="F175" s="20"/>
      <c r="G175" s="19"/>
      <c r="H175" s="19"/>
      <c r="I175" s="19"/>
    </row>
    <row r="176" spans="1:9">
      <c r="A176" s="19"/>
      <c r="B176" s="19"/>
      <c r="C176" s="19"/>
      <c r="D176" s="19"/>
      <c r="E176" s="20"/>
      <c r="F176" s="20"/>
      <c r="G176" s="19"/>
      <c r="H176" s="19"/>
      <c r="I176" s="19"/>
    </row>
    <row r="177" spans="1:9">
      <c r="A177" s="19"/>
      <c r="B177" s="19"/>
      <c r="C177" s="19"/>
      <c r="D177" s="19"/>
      <c r="E177" s="20"/>
      <c r="F177" s="20"/>
      <c r="G177" s="19"/>
      <c r="H177" s="19"/>
      <c r="I177" s="19"/>
    </row>
    <row r="178" spans="1:9">
      <c r="A178" s="19"/>
      <c r="B178" s="19"/>
      <c r="C178" s="19"/>
      <c r="D178" s="19"/>
      <c r="E178" s="20"/>
      <c r="F178" s="20"/>
      <c r="G178" s="19"/>
      <c r="H178" s="19"/>
      <c r="I178" s="19"/>
    </row>
    <row r="179" spans="1:9">
      <c r="A179" s="19"/>
      <c r="B179" s="19"/>
      <c r="C179" s="19"/>
      <c r="D179" s="19"/>
      <c r="E179" s="20"/>
      <c r="F179" s="20"/>
      <c r="G179" s="19"/>
      <c r="H179" s="19"/>
      <c r="I179" s="19"/>
    </row>
    <row r="180" spans="1:9">
      <c r="A180" s="19"/>
      <c r="B180" s="19"/>
      <c r="C180" s="19"/>
      <c r="D180" s="19"/>
      <c r="E180" s="20"/>
      <c r="F180" s="20"/>
      <c r="G180" s="19"/>
      <c r="H180" s="19"/>
      <c r="I180" s="19"/>
    </row>
    <row r="181" spans="1:9">
      <c r="A181" s="19"/>
      <c r="B181" s="19"/>
      <c r="C181" s="19"/>
      <c r="D181" s="19"/>
      <c r="E181" s="20"/>
      <c r="F181" s="20"/>
      <c r="G181" s="19"/>
      <c r="H181" s="19"/>
      <c r="I181" s="19"/>
    </row>
    <row r="182" spans="1:9">
      <c r="A182" s="19"/>
      <c r="B182" s="19"/>
      <c r="C182" s="19"/>
      <c r="D182" s="19"/>
      <c r="E182" s="20"/>
      <c r="F182" s="20"/>
      <c r="G182" s="19"/>
      <c r="H182" s="19"/>
      <c r="I182" s="19"/>
    </row>
    <row r="183" spans="1:9">
      <c r="A183" s="19"/>
      <c r="B183" s="19"/>
      <c r="C183" s="19"/>
      <c r="D183" s="19"/>
      <c r="E183" s="20"/>
      <c r="F183" s="20"/>
      <c r="G183" s="19"/>
      <c r="H183" s="19"/>
      <c r="I183" s="19"/>
    </row>
    <row r="184" spans="1:9">
      <c r="A184" s="19"/>
      <c r="B184" s="19"/>
      <c r="C184" s="19"/>
      <c r="D184" s="19"/>
      <c r="E184" s="20"/>
      <c r="F184" s="20"/>
      <c r="G184" s="19"/>
      <c r="H184" s="19"/>
      <c r="I184" s="19"/>
    </row>
    <row r="185" spans="1:9">
      <c r="A185" s="19"/>
      <c r="B185" s="19"/>
      <c r="C185" s="19"/>
      <c r="D185" s="19"/>
      <c r="E185" s="20"/>
      <c r="F185" s="20"/>
      <c r="G185" s="19"/>
      <c r="H185" s="19"/>
      <c r="I185" s="19"/>
    </row>
    <row r="186" spans="1:9">
      <c r="A186" s="19"/>
      <c r="B186" s="19"/>
      <c r="C186" s="19"/>
      <c r="D186" s="19"/>
      <c r="E186" s="20"/>
      <c r="F186" s="20"/>
      <c r="G186" s="19"/>
      <c r="H186" s="19"/>
      <c r="I186" s="19"/>
    </row>
    <row r="187" spans="1:9">
      <c r="A187" s="19"/>
      <c r="B187" s="19"/>
      <c r="C187" s="19"/>
      <c r="D187" s="19"/>
      <c r="E187" s="20"/>
      <c r="F187" s="20"/>
      <c r="G187" s="19"/>
      <c r="H187" s="19"/>
      <c r="I187" s="19"/>
    </row>
    <row r="188" spans="1:9">
      <c r="A188" s="19"/>
      <c r="B188" s="19"/>
      <c r="C188" s="19"/>
      <c r="D188" s="19"/>
      <c r="E188" s="20"/>
      <c r="F188" s="20"/>
      <c r="G188" s="19"/>
      <c r="H188" s="19"/>
      <c r="I188" s="19"/>
    </row>
    <row r="189" spans="1:9">
      <c r="A189" s="19"/>
      <c r="B189" s="19"/>
      <c r="C189" s="19"/>
      <c r="D189" s="19"/>
      <c r="E189" s="20"/>
      <c r="F189" s="20"/>
      <c r="G189" s="19"/>
      <c r="H189" s="19"/>
      <c r="I189" s="19"/>
    </row>
    <row r="190" spans="1:9">
      <c r="A190" s="19"/>
      <c r="B190" s="19"/>
      <c r="C190" s="19"/>
      <c r="D190" s="19"/>
      <c r="E190" s="20"/>
      <c r="F190" s="20"/>
      <c r="G190" s="19"/>
      <c r="H190" s="19"/>
      <c r="I190" s="19"/>
    </row>
    <row r="191" spans="1:9">
      <c r="A191" s="19"/>
      <c r="B191" s="19"/>
      <c r="C191" s="19"/>
      <c r="D191" s="19"/>
      <c r="E191" s="20"/>
      <c r="F191" s="20"/>
      <c r="G191" s="19"/>
      <c r="H191" s="19"/>
      <c r="I191" s="19"/>
    </row>
    <row r="192" spans="1:9">
      <c r="A192" s="19"/>
      <c r="B192" s="19"/>
      <c r="C192" s="19"/>
      <c r="D192" s="19"/>
      <c r="E192" s="20"/>
      <c r="F192" s="20"/>
      <c r="G192" s="19"/>
      <c r="H192" s="19"/>
      <c r="I192" s="19"/>
    </row>
    <row r="193" spans="1:9">
      <c r="A193" s="19"/>
      <c r="B193" s="19"/>
      <c r="C193" s="19"/>
      <c r="D193" s="19"/>
      <c r="E193" s="20"/>
      <c r="F193" s="20"/>
      <c r="G193" s="19"/>
      <c r="H193" s="19"/>
      <c r="I193" s="19"/>
    </row>
    <row r="194" spans="1:9">
      <c r="A194" s="19"/>
      <c r="B194" s="19"/>
      <c r="C194" s="19"/>
      <c r="D194" s="19"/>
      <c r="E194" s="20"/>
      <c r="F194" s="20"/>
      <c r="G194" s="19"/>
      <c r="H194" s="19"/>
      <c r="I194" s="19"/>
    </row>
    <row r="195" spans="1:9">
      <c r="A195" s="19"/>
      <c r="B195" s="19"/>
      <c r="C195" s="19"/>
      <c r="D195" s="19"/>
      <c r="E195" s="20"/>
      <c r="F195" s="20"/>
      <c r="G195" s="19"/>
      <c r="H195" s="19"/>
      <c r="I195" s="19"/>
    </row>
    <row r="196" spans="1:9">
      <c r="A196" s="19"/>
      <c r="B196" s="19"/>
      <c r="C196" s="19"/>
      <c r="D196" s="19"/>
      <c r="E196" s="20"/>
      <c r="F196" s="20"/>
      <c r="G196" s="19"/>
      <c r="H196" s="19"/>
      <c r="I196" s="19"/>
    </row>
    <row r="197" spans="1:9">
      <c r="A197" s="19"/>
      <c r="B197" s="19"/>
      <c r="C197" s="19"/>
      <c r="D197" s="19"/>
      <c r="E197" s="20"/>
      <c r="F197" s="20"/>
      <c r="G197" s="19"/>
      <c r="H197" s="19"/>
      <c r="I197" s="19"/>
    </row>
    <row r="198" spans="1:9">
      <c r="A198" s="19"/>
      <c r="B198" s="19"/>
      <c r="C198" s="19"/>
      <c r="D198" s="19"/>
      <c r="E198" s="20"/>
      <c r="F198" s="20"/>
      <c r="G198" s="19"/>
      <c r="H198" s="19"/>
      <c r="I198" s="19"/>
    </row>
    <row r="199" spans="1:9">
      <c r="A199" s="19"/>
      <c r="B199" s="19"/>
      <c r="C199" s="19"/>
      <c r="D199" s="19"/>
      <c r="E199" s="20"/>
      <c r="F199" s="20"/>
      <c r="G199" s="19"/>
      <c r="H199" s="19"/>
      <c r="I199" s="19"/>
    </row>
    <row r="200" spans="1:9">
      <c r="A200" s="19"/>
      <c r="B200" s="19"/>
      <c r="C200" s="19"/>
      <c r="D200" s="19"/>
      <c r="E200" s="20"/>
      <c r="F200" s="20"/>
      <c r="G200" s="19"/>
      <c r="H200" s="19"/>
      <c r="I200" s="19"/>
    </row>
  </sheetData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L100"/>
  <sheetViews>
    <sheetView showGridLines="0" workbookViewId="0">
      <pane ySplit="1" topLeftCell="A2" activePane="bottomLeft" state="frozen"/>
      <selection activeCell="J106" sqref="J106"/>
      <selection pane="bottomLeft" activeCell="I1" sqref="I1"/>
    </sheetView>
  </sheetViews>
  <sheetFormatPr defaultColWidth="8.81640625" defaultRowHeight="15.5"/>
  <cols>
    <col min="1" max="1" width="14" style="17" customWidth="1"/>
    <col min="2" max="2" width="15" style="17" customWidth="1"/>
    <col min="3" max="3" width="13" style="17" customWidth="1"/>
    <col min="4" max="4" width="16" style="17" customWidth="1"/>
    <col min="5" max="5" width="15" style="17" customWidth="1"/>
    <col min="6" max="6" width="12" style="17" customWidth="1"/>
    <col min="7" max="7" width="15" style="17" customWidth="1"/>
    <col min="8" max="8" width="12" style="17" customWidth="1"/>
    <col min="9" max="9" width="19.7265625" style="17" customWidth="1"/>
    <col min="10" max="10" width="15.81640625" style="17" customWidth="1"/>
    <col min="11" max="11" width="19.453125" style="17" customWidth="1"/>
    <col min="12" max="12" width="12" style="17" customWidth="1"/>
    <col min="13" max="16384" width="8.81640625" style="17"/>
  </cols>
  <sheetData>
    <row r="1" spans="1:12" ht="22" customHeight="1">
      <c r="A1" s="18" t="s">
        <v>170</v>
      </c>
      <c r="B1" s="18" t="s">
        <v>171</v>
      </c>
      <c r="C1" s="18" t="s">
        <v>79</v>
      </c>
      <c r="D1" s="18" t="s">
        <v>172</v>
      </c>
      <c r="E1" s="18" t="s">
        <v>173</v>
      </c>
      <c r="F1" s="18" t="s">
        <v>174</v>
      </c>
      <c r="G1" s="18" t="s">
        <v>175</v>
      </c>
      <c r="H1" s="18" t="s">
        <v>137</v>
      </c>
      <c r="I1" s="18" t="s">
        <v>176</v>
      </c>
      <c r="J1" s="18" t="s">
        <v>177</v>
      </c>
      <c r="K1" s="18" t="s">
        <v>178</v>
      </c>
      <c r="L1" s="18" t="s">
        <v>179</v>
      </c>
    </row>
    <row r="2" spans="1:12">
      <c r="A2" s="19"/>
      <c r="B2" s="20"/>
      <c r="C2" s="19"/>
      <c r="D2" s="19"/>
      <c r="E2" s="19"/>
      <c r="F2" s="19"/>
      <c r="G2" s="19"/>
      <c r="H2" s="19"/>
      <c r="I2" s="19"/>
      <c r="J2" s="20"/>
      <c r="K2" s="20"/>
      <c r="L2" s="19"/>
    </row>
    <row r="3" spans="1:12">
      <c r="A3" s="19"/>
      <c r="B3" s="20"/>
      <c r="C3" s="19"/>
      <c r="D3" s="19"/>
      <c r="E3" s="19"/>
      <c r="F3" s="19"/>
      <c r="G3" s="19"/>
      <c r="H3" s="19"/>
      <c r="I3" s="19"/>
      <c r="J3" s="20"/>
      <c r="K3" s="20"/>
      <c r="L3" s="19"/>
    </row>
    <row r="4" spans="1:12">
      <c r="A4" s="19"/>
      <c r="B4" s="20"/>
      <c r="C4" s="19"/>
      <c r="D4" s="19"/>
      <c r="E4" s="19"/>
      <c r="F4" s="19"/>
      <c r="G4" s="19"/>
      <c r="H4" s="19"/>
      <c r="I4" s="19"/>
      <c r="J4" s="20"/>
      <c r="K4" s="20"/>
      <c r="L4" s="19"/>
    </row>
    <row r="5" spans="1:12">
      <c r="A5" s="19"/>
      <c r="B5" s="20"/>
      <c r="C5" s="19"/>
      <c r="D5" s="19"/>
      <c r="E5" s="19"/>
      <c r="F5" s="19"/>
      <c r="G5" s="19"/>
      <c r="H5" s="19"/>
      <c r="I5" s="19"/>
      <c r="J5" s="20"/>
      <c r="K5" s="20"/>
      <c r="L5" s="19"/>
    </row>
    <row r="6" spans="1:12">
      <c r="A6" s="19"/>
      <c r="B6" s="20"/>
      <c r="C6" s="19"/>
      <c r="D6" s="19"/>
      <c r="E6" s="19"/>
      <c r="F6" s="19"/>
      <c r="G6" s="19"/>
      <c r="H6" s="19"/>
      <c r="I6" s="19"/>
      <c r="J6" s="20"/>
      <c r="K6" s="20"/>
      <c r="L6" s="19"/>
    </row>
    <row r="7" spans="1:12">
      <c r="A7" s="19"/>
      <c r="B7" s="20"/>
      <c r="C7" s="19"/>
      <c r="D7" s="19"/>
      <c r="E7" s="19"/>
      <c r="F7" s="19"/>
      <c r="G7" s="19"/>
      <c r="H7" s="19"/>
      <c r="I7" s="19"/>
      <c r="J7" s="20"/>
      <c r="K7" s="20"/>
      <c r="L7" s="19"/>
    </row>
    <row r="8" spans="1:12">
      <c r="A8" s="19"/>
      <c r="B8" s="20"/>
      <c r="C8" s="19"/>
      <c r="D8" s="19"/>
      <c r="E8" s="19"/>
      <c r="F8" s="19"/>
      <c r="G8" s="19"/>
      <c r="H8" s="19"/>
      <c r="I8" s="19"/>
      <c r="J8" s="20"/>
      <c r="K8" s="20"/>
      <c r="L8" s="19"/>
    </row>
    <row r="9" spans="1:12">
      <c r="A9" s="19"/>
      <c r="B9" s="20"/>
      <c r="C9" s="19"/>
      <c r="D9" s="19"/>
      <c r="E9" s="19"/>
      <c r="F9" s="19"/>
      <c r="G9" s="19"/>
      <c r="H9" s="19"/>
      <c r="I9" s="19"/>
      <c r="J9" s="20"/>
      <c r="K9" s="20"/>
      <c r="L9" s="19"/>
    </row>
    <row r="10" spans="1:12">
      <c r="A10" s="19"/>
      <c r="B10" s="20"/>
      <c r="C10" s="19"/>
      <c r="D10" s="19"/>
      <c r="E10" s="19"/>
      <c r="F10" s="19"/>
      <c r="G10" s="19"/>
      <c r="H10" s="19"/>
      <c r="I10" s="19"/>
      <c r="J10" s="20"/>
      <c r="K10" s="20"/>
      <c r="L10" s="19"/>
    </row>
    <row r="11" spans="1:12">
      <c r="A11" s="19"/>
      <c r="B11" s="20"/>
      <c r="C11" s="19"/>
      <c r="D11" s="19"/>
      <c r="E11" s="19"/>
      <c r="F11" s="19"/>
      <c r="G11" s="19"/>
      <c r="H11" s="19"/>
      <c r="I11" s="19"/>
      <c r="J11" s="20"/>
      <c r="K11" s="20"/>
      <c r="L11" s="19"/>
    </row>
    <row r="12" spans="1:12">
      <c r="A12" s="19"/>
      <c r="B12" s="20"/>
      <c r="C12" s="19"/>
      <c r="D12" s="19"/>
      <c r="E12" s="19"/>
      <c r="F12" s="19"/>
      <c r="G12" s="19"/>
      <c r="H12" s="19"/>
      <c r="I12" s="19"/>
      <c r="J12" s="20"/>
      <c r="K12" s="20"/>
      <c r="L12" s="19"/>
    </row>
    <row r="13" spans="1:12">
      <c r="A13" s="19"/>
      <c r="B13" s="20"/>
      <c r="C13" s="19"/>
      <c r="D13" s="19"/>
      <c r="E13" s="19"/>
      <c r="F13" s="19"/>
      <c r="G13" s="19"/>
      <c r="H13" s="19"/>
      <c r="I13" s="19"/>
      <c r="J13" s="20"/>
      <c r="K13" s="20"/>
      <c r="L13" s="19"/>
    </row>
    <row r="14" spans="1:12">
      <c r="A14" s="19"/>
      <c r="B14" s="20"/>
      <c r="C14" s="19"/>
      <c r="D14" s="19"/>
      <c r="E14" s="19"/>
      <c r="F14" s="19"/>
      <c r="G14" s="19"/>
      <c r="H14" s="19"/>
      <c r="I14" s="19"/>
      <c r="J14" s="20"/>
      <c r="K14" s="20"/>
      <c r="L14" s="19"/>
    </row>
    <row r="15" spans="1:12">
      <c r="A15" s="19"/>
      <c r="B15" s="20"/>
      <c r="C15" s="19"/>
      <c r="D15" s="19"/>
      <c r="E15" s="19"/>
      <c r="F15" s="19"/>
      <c r="G15" s="19"/>
      <c r="H15" s="19"/>
      <c r="I15" s="19"/>
      <c r="J15" s="20"/>
      <c r="K15" s="20"/>
      <c r="L15" s="19"/>
    </row>
    <row r="16" spans="1:12">
      <c r="A16" s="19"/>
      <c r="B16" s="20"/>
      <c r="C16" s="19"/>
      <c r="D16" s="19"/>
      <c r="E16" s="19"/>
      <c r="F16" s="19"/>
      <c r="G16" s="19"/>
      <c r="H16" s="19"/>
      <c r="I16" s="19"/>
      <c r="J16" s="20"/>
      <c r="K16" s="20"/>
      <c r="L16" s="19"/>
    </row>
    <row r="17" spans="1:12">
      <c r="A17" s="19"/>
      <c r="B17" s="20"/>
      <c r="C17" s="19"/>
      <c r="D17" s="19"/>
      <c r="E17" s="19"/>
      <c r="F17" s="19"/>
      <c r="G17" s="19"/>
      <c r="H17" s="19"/>
      <c r="I17" s="19"/>
      <c r="J17" s="20"/>
      <c r="K17" s="20"/>
      <c r="L17" s="19"/>
    </row>
    <row r="18" spans="1:12">
      <c r="A18" s="19"/>
      <c r="B18" s="20"/>
      <c r="C18" s="19"/>
      <c r="D18" s="19"/>
      <c r="E18" s="19"/>
      <c r="F18" s="19"/>
      <c r="G18" s="19"/>
      <c r="H18" s="19"/>
      <c r="I18" s="19"/>
      <c r="J18" s="20"/>
      <c r="K18" s="20"/>
      <c r="L18" s="19"/>
    </row>
    <row r="19" spans="1:12">
      <c r="A19" s="19"/>
      <c r="B19" s="20"/>
      <c r="C19" s="19"/>
      <c r="D19" s="19"/>
      <c r="E19" s="19"/>
      <c r="F19" s="19"/>
      <c r="G19" s="19"/>
      <c r="H19" s="19"/>
      <c r="I19" s="19"/>
      <c r="J19" s="20"/>
      <c r="K19" s="20"/>
      <c r="L19" s="19"/>
    </row>
    <row r="20" spans="1:12">
      <c r="A20" s="19"/>
      <c r="B20" s="20"/>
      <c r="C20" s="19"/>
      <c r="D20" s="19"/>
      <c r="E20" s="19"/>
      <c r="F20" s="19"/>
      <c r="G20" s="19"/>
      <c r="H20" s="19"/>
      <c r="I20" s="19"/>
      <c r="J20" s="20"/>
      <c r="K20" s="20"/>
      <c r="L20" s="19"/>
    </row>
    <row r="21" spans="1:12">
      <c r="A21" s="19"/>
      <c r="B21" s="20"/>
      <c r="C21" s="19"/>
      <c r="D21" s="19"/>
      <c r="E21" s="19"/>
      <c r="F21" s="19"/>
      <c r="G21" s="19"/>
      <c r="H21" s="19"/>
      <c r="I21" s="19"/>
      <c r="J21" s="20"/>
      <c r="K21" s="20"/>
      <c r="L21" s="19"/>
    </row>
    <row r="22" spans="1:12">
      <c r="A22" s="19"/>
      <c r="B22" s="20"/>
      <c r="C22" s="19"/>
      <c r="D22" s="19"/>
      <c r="E22" s="19"/>
      <c r="F22" s="19"/>
      <c r="G22" s="19"/>
      <c r="H22" s="19"/>
      <c r="I22" s="19"/>
      <c r="J22" s="20"/>
      <c r="K22" s="20"/>
      <c r="L22" s="19"/>
    </row>
    <row r="23" spans="1:12">
      <c r="A23" s="19"/>
      <c r="B23" s="20"/>
      <c r="C23" s="19"/>
      <c r="D23" s="19"/>
      <c r="E23" s="19"/>
      <c r="F23" s="19"/>
      <c r="G23" s="19"/>
      <c r="H23" s="19"/>
      <c r="I23" s="19"/>
      <c r="J23" s="20"/>
      <c r="K23" s="20"/>
      <c r="L23" s="19"/>
    </row>
    <row r="24" spans="1:12">
      <c r="A24" s="19"/>
      <c r="B24" s="20"/>
      <c r="C24" s="19"/>
      <c r="D24" s="19"/>
      <c r="E24" s="19"/>
      <c r="F24" s="19"/>
      <c r="G24" s="19"/>
      <c r="H24" s="19"/>
      <c r="I24" s="19"/>
      <c r="J24" s="20"/>
      <c r="K24" s="20"/>
      <c r="L24" s="19"/>
    </row>
    <row r="25" spans="1:12">
      <c r="A25" s="19"/>
      <c r="B25" s="20"/>
      <c r="C25" s="19"/>
      <c r="D25" s="19"/>
      <c r="E25" s="19"/>
      <c r="F25" s="19"/>
      <c r="G25" s="19"/>
      <c r="H25" s="19"/>
      <c r="I25" s="19"/>
      <c r="J25" s="20"/>
      <c r="K25" s="20"/>
      <c r="L25" s="19"/>
    </row>
    <row r="26" spans="1:12">
      <c r="A26" s="19"/>
      <c r="B26" s="20"/>
      <c r="C26" s="19"/>
      <c r="D26" s="19"/>
      <c r="E26" s="19"/>
      <c r="F26" s="19"/>
      <c r="G26" s="19"/>
      <c r="H26" s="19"/>
      <c r="I26" s="19"/>
      <c r="J26" s="20"/>
      <c r="K26" s="20"/>
      <c r="L26" s="19"/>
    </row>
    <row r="27" spans="1:12">
      <c r="A27" s="19"/>
      <c r="B27" s="20"/>
      <c r="C27" s="19"/>
      <c r="D27" s="19"/>
      <c r="E27" s="19"/>
      <c r="F27" s="19"/>
      <c r="G27" s="19"/>
      <c r="H27" s="19"/>
      <c r="I27" s="19"/>
      <c r="J27" s="20"/>
      <c r="K27" s="20"/>
      <c r="L27" s="19"/>
    </row>
    <row r="28" spans="1:12">
      <c r="A28" s="19"/>
      <c r="B28" s="20"/>
      <c r="C28" s="19"/>
      <c r="D28" s="19"/>
      <c r="E28" s="19"/>
      <c r="F28" s="19"/>
      <c r="G28" s="19"/>
      <c r="H28" s="19"/>
      <c r="I28" s="19"/>
      <c r="J28" s="20"/>
      <c r="K28" s="20"/>
      <c r="L28" s="19"/>
    </row>
    <row r="29" spans="1:12">
      <c r="A29" s="19"/>
      <c r="B29" s="20"/>
      <c r="C29" s="19"/>
      <c r="D29" s="19"/>
      <c r="E29" s="19"/>
      <c r="F29" s="19"/>
      <c r="G29" s="19"/>
      <c r="H29" s="19"/>
      <c r="I29" s="19"/>
      <c r="J29" s="20"/>
      <c r="K29" s="20"/>
      <c r="L29" s="19"/>
    </row>
    <row r="30" spans="1:12">
      <c r="A30" s="19"/>
      <c r="B30" s="20"/>
      <c r="C30" s="19"/>
      <c r="D30" s="19"/>
      <c r="E30" s="19"/>
      <c r="F30" s="19"/>
      <c r="G30" s="19"/>
      <c r="H30" s="19"/>
      <c r="I30" s="19"/>
      <c r="J30" s="20"/>
      <c r="K30" s="20"/>
      <c r="L30" s="19"/>
    </row>
    <row r="31" spans="1:12">
      <c r="A31" s="19"/>
      <c r="B31" s="20"/>
      <c r="C31" s="19"/>
      <c r="D31" s="19"/>
      <c r="E31" s="19"/>
      <c r="F31" s="19"/>
      <c r="G31" s="19"/>
      <c r="H31" s="19"/>
      <c r="I31" s="19"/>
      <c r="J31" s="20"/>
      <c r="K31" s="20"/>
      <c r="L31" s="19"/>
    </row>
    <row r="32" spans="1:12">
      <c r="A32" s="19"/>
      <c r="B32" s="20"/>
      <c r="C32" s="19"/>
      <c r="D32" s="19"/>
      <c r="E32" s="19"/>
      <c r="F32" s="19"/>
      <c r="G32" s="19"/>
      <c r="H32" s="19"/>
      <c r="I32" s="19"/>
      <c r="J32" s="20"/>
      <c r="K32" s="20"/>
      <c r="L32" s="19"/>
    </row>
    <row r="33" spans="1:12">
      <c r="A33" s="19"/>
      <c r="B33" s="20"/>
      <c r="C33" s="19"/>
      <c r="D33" s="19"/>
      <c r="E33" s="19"/>
      <c r="F33" s="19"/>
      <c r="G33" s="19"/>
      <c r="H33" s="19"/>
      <c r="I33" s="19"/>
      <c r="J33" s="20"/>
      <c r="K33" s="20"/>
      <c r="L33" s="19"/>
    </row>
    <row r="34" spans="1:12">
      <c r="A34" s="19"/>
      <c r="B34" s="20"/>
      <c r="C34" s="19"/>
      <c r="D34" s="19"/>
      <c r="E34" s="19"/>
      <c r="F34" s="19"/>
      <c r="G34" s="19"/>
      <c r="H34" s="19"/>
      <c r="I34" s="19"/>
      <c r="J34" s="20"/>
      <c r="K34" s="20"/>
      <c r="L34" s="19"/>
    </row>
    <row r="35" spans="1:12">
      <c r="A35" s="19"/>
      <c r="B35" s="20"/>
      <c r="C35" s="19"/>
      <c r="D35" s="19"/>
      <c r="E35" s="19"/>
      <c r="F35" s="19"/>
      <c r="G35" s="19"/>
      <c r="H35" s="19"/>
      <c r="I35" s="19"/>
      <c r="J35" s="20"/>
      <c r="K35" s="20"/>
      <c r="L35" s="19"/>
    </row>
    <row r="36" spans="1:12">
      <c r="A36" s="19"/>
      <c r="B36" s="20"/>
      <c r="C36" s="19"/>
      <c r="D36" s="19"/>
      <c r="E36" s="19"/>
      <c r="F36" s="19"/>
      <c r="G36" s="19"/>
      <c r="H36" s="19"/>
      <c r="I36" s="19"/>
      <c r="J36" s="20"/>
      <c r="K36" s="20"/>
      <c r="L36" s="19"/>
    </row>
    <row r="37" spans="1:12">
      <c r="A37" s="19"/>
      <c r="B37" s="20"/>
      <c r="C37" s="19"/>
      <c r="D37" s="19"/>
      <c r="E37" s="19"/>
      <c r="F37" s="19"/>
      <c r="G37" s="19"/>
      <c r="H37" s="19"/>
      <c r="I37" s="19"/>
      <c r="J37" s="20"/>
      <c r="K37" s="20"/>
      <c r="L37" s="19"/>
    </row>
    <row r="38" spans="1:12">
      <c r="A38" s="19"/>
      <c r="B38" s="20"/>
      <c r="C38" s="19"/>
      <c r="D38" s="19"/>
      <c r="E38" s="19"/>
      <c r="F38" s="19"/>
      <c r="G38" s="19"/>
      <c r="H38" s="19"/>
      <c r="I38" s="19"/>
      <c r="J38" s="20"/>
      <c r="K38" s="20"/>
      <c r="L38" s="19"/>
    </row>
    <row r="39" spans="1:12">
      <c r="A39" s="19"/>
      <c r="B39" s="20"/>
      <c r="C39" s="19"/>
      <c r="D39" s="19"/>
      <c r="E39" s="19"/>
      <c r="F39" s="19"/>
      <c r="G39" s="19"/>
      <c r="H39" s="19"/>
      <c r="I39" s="19"/>
      <c r="J39" s="20"/>
      <c r="K39" s="20"/>
      <c r="L39" s="19"/>
    </row>
    <row r="40" spans="1:12">
      <c r="A40" s="19"/>
      <c r="B40" s="20"/>
      <c r="C40" s="19"/>
      <c r="D40" s="19"/>
      <c r="E40" s="19"/>
      <c r="F40" s="19"/>
      <c r="G40" s="19"/>
      <c r="H40" s="19"/>
      <c r="I40" s="19"/>
      <c r="J40" s="20"/>
      <c r="K40" s="20"/>
      <c r="L40" s="19"/>
    </row>
    <row r="41" spans="1:12">
      <c r="A41" s="19"/>
      <c r="B41" s="20"/>
      <c r="C41" s="19"/>
      <c r="D41" s="19"/>
      <c r="E41" s="19"/>
      <c r="F41" s="19"/>
      <c r="G41" s="19"/>
      <c r="H41" s="19"/>
      <c r="I41" s="19"/>
      <c r="J41" s="20"/>
      <c r="K41" s="20"/>
      <c r="L41" s="19"/>
    </row>
    <row r="42" spans="1:12">
      <c r="A42" s="19"/>
      <c r="B42" s="20"/>
      <c r="C42" s="19"/>
      <c r="D42" s="19"/>
      <c r="E42" s="19"/>
      <c r="F42" s="19"/>
      <c r="G42" s="19"/>
      <c r="H42" s="19"/>
      <c r="I42" s="19"/>
      <c r="J42" s="20"/>
      <c r="K42" s="20"/>
      <c r="L42" s="19"/>
    </row>
    <row r="43" spans="1:12">
      <c r="A43" s="19"/>
      <c r="B43" s="20"/>
      <c r="C43" s="19"/>
      <c r="D43" s="19"/>
      <c r="E43" s="19"/>
      <c r="F43" s="19"/>
      <c r="G43" s="19"/>
      <c r="H43" s="19"/>
      <c r="I43" s="19"/>
      <c r="J43" s="20"/>
      <c r="K43" s="20"/>
      <c r="L43" s="19"/>
    </row>
    <row r="44" spans="1:12">
      <c r="A44" s="19"/>
      <c r="B44" s="20"/>
      <c r="C44" s="19"/>
      <c r="D44" s="19"/>
      <c r="E44" s="19"/>
      <c r="F44" s="19"/>
      <c r="G44" s="19"/>
      <c r="H44" s="19"/>
      <c r="I44" s="19"/>
      <c r="J44" s="20"/>
      <c r="K44" s="20"/>
      <c r="L44" s="19"/>
    </row>
    <row r="45" spans="1:12">
      <c r="A45" s="19"/>
      <c r="B45" s="20"/>
      <c r="C45" s="19"/>
      <c r="D45" s="19"/>
      <c r="E45" s="19"/>
      <c r="F45" s="19"/>
      <c r="G45" s="19"/>
      <c r="H45" s="19"/>
      <c r="I45" s="19"/>
      <c r="J45" s="20"/>
      <c r="K45" s="20"/>
      <c r="L45" s="19"/>
    </row>
    <row r="46" spans="1:12">
      <c r="A46" s="19"/>
      <c r="B46" s="20"/>
      <c r="C46" s="19"/>
      <c r="D46" s="19"/>
      <c r="E46" s="19"/>
      <c r="F46" s="19"/>
      <c r="G46" s="19"/>
      <c r="H46" s="19"/>
      <c r="I46" s="19"/>
      <c r="J46" s="20"/>
      <c r="K46" s="20"/>
      <c r="L46" s="19"/>
    </row>
    <row r="47" spans="1:12">
      <c r="A47" s="19"/>
      <c r="B47" s="20"/>
      <c r="C47" s="19"/>
      <c r="D47" s="19"/>
      <c r="E47" s="19"/>
      <c r="F47" s="19"/>
      <c r="G47" s="19"/>
      <c r="H47" s="19"/>
      <c r="I47" s="19"/>
      <c r="J47" s="20"/>
      <c r="K47" s="20"/>
      <c r="L47" s="19"/>
    </row>
    <row r="48" spans="1:12">
      <c r="A48" s="19"/>
      <c r="B48" s="20"/>
      <c r="C48" s="19"/>
      <c r="D48" s="19"/>
      <c r="E48" s="19"/>
      <c r="F48" s="19"/>
      <c r="G48" s="19"/>
      <c r="H48" s="19"/>
      <c r="I48" s="19"/>
      <c r="J48" s="20"/>
      <c r="K48" s="20"/>
      <c r="L48" s="19"/>
    </row>
    <row r="49" spans="1:12">
      <c r="A49" s="19"/>
      <c r="B49" s="20"/>
      <c r="C49" s="19"/>
      <c r="D49" s="19"/>
      <c r="E49" s="19"/>
      <c r="F49" s="19"/>
      <c r="G49" s="19"/>
      <c r="H49" s="19"/>
      <c r="I49" s="19"/>
      <c r="J49" s="20"/>
      <c r="K49" s="20"/>
      <c r="L49" s="19"/>
    </row>
    <row r="50" spans="1:12">
      <c r="A50" s="19"/>
      <c r="B50" s="20"/>
      <c r="C50" s="19"/>
      <c r="D50" s="19"/>
      <c r="E50" s="19"/>
      <c r="F50" s="19"/>
      <c r="G50" s="19"/>
      <c r="H50" s="19"/>
      <c r="I50" s="19"/>
      <c r="J50" s="20"/>
      <c r="K50" s="20"/>
      <c r="L50" s="19"/>
    </row>
    <row r="51" spans="1:12">
      <c r="A51" s="19"/>
      <c r="B51" s="20"/>
      <c r="C51" s="19"/>
      <c r="D51" s="19"/>
      <c r="E51" s="19"/>
      <c r="F51" s="19"/>
      <c r="G51" s="19"/>
      <c r="H51" s="19"/>
      <c r="I51" s="19"/>
      <c r="J51" s="20"/>
      <c r="K51" s="20"/>
      <c r="L51" s="19"/>
    </row>
    <row r="52" spans="1:12">
      <c r="A52" s="19"/>
      <c r="B52" s="20"/>
      <c r="C52" s="19"/>
      <c r="D52" s="19"/>
      <c r="E52" s="19"/>
      <c r="F52" s="19"/>
      <c r="G52" s="19"/>
      <c r="H52" s="19"/>
      <c r="I52" s="19"/>
      <c r="J52" s="20"/>
      <c r="K52" s="20"/>
      <c r="L52" s="19"/>
    </row>
    <row r="53" spans="1:12">
      <c r="A53" s="19"/>
      <c r="B53" s="20"/>
      <c r="C53" s="19"/>
      <c r="D53" s="19"/>
      <c r="E53" s="19"/>
      <c r="F53" s="19"/>
      <c r="G53" s="19"/>
      <c r="H53" s="19"/>
      <c r="I53" s="19"/>
      <c r="J53" s="20"/>
      <c r="K53" s="20"/>
      <c r="L53" s="19"/>
    </row>
    <row r="54" spans="1:12">
      <c r="A54" s="19"/>
      <c r="B54" s="20"/>
      <c r="C54" s="19"/>
      <c r="D54" s="19"/>
      <c r="E54" s="19"/>
      <c r="F54" s="19"/>
      <c r="G54" s="19"/>
      <c r="H54" s="19"/>
      <c r="I54" s="19"/>
      <c r="J54" s="20"/>
      <c r="K54" s="20"/>
      <c r="L54" s="19"/>
    </row>
    <row r="55" spans="1:12">
      <c r="A55" s="19"/>
      <c r="B55" s="20"/>
      <c r="C55" s="19"/>
      <c r="D55" s="19"/>
      <c r="E55" s="19"/>
      <c r="F55" s="19"/>
      <c r="G55" s="19"/>
      <c r="H55" s="19"/>
      <c r="I55" s="19"/>
      <c r="J55" s="20"/>
      <c r="K55" s="20"/>
      <c r="L55" s="19"/>
    </row>
    <row r="56" spans="1:12">
      <c r="A56" s="19"/>
      <c r="B56" s="20"/>
      <c r="C56" s="19"/>
      <c r="D56" s="19"/>
      <c r="E56" s="19"/>
      <c r="F56" s="19"/>
      <c r="G56" s="19"/>
      <c r="H56" s="19"/>
      <c r="I56" s="19"/>
      <c r="J56" s="20"/>
      <c r="K56" s="20"/>
      <c r="L56" s="19"/>
    </row>
    <row r="57" spans="1:12">
      <c r="A57" s="19"/>
      <c r="B57" s="20"/>
      <c r="C57" s="19"/>
      <c r="D57" s="19"/>
      <c r="E57" s="19"/>
      <c r="F57" s="19"/>
      <c r="G57" s="19"/>
      <c r="H57" s="19"/>
      <c r="I57" s="19"/>
      <c r="J57" s="20"/>
      <c r="K57" s="20"/>
      <c r="L57" s="19"/>
    </row>
    <row r="58" spans="1:12">
      <c r="A58" s="19"/>
      <c r="B58" s="20"/>
      <c r="C58" s="19"/>
      <c r="D58" s="19"/>
      <c r="E58" s="19"/>
      <c r="F58" s="19"/>
      <c r="G58" s="19"/>
      <c r="H58" s="19"/>
      <c r="I58" s="19"/>
      <c r="J58" s="20"/>
      <c r="K58" s="20"/>
      <c r="L58" s="19"/>
    </row>
    <row r="59" spans="1:12">
      <c r="A59" s="19"/>
      <c r="B59" s="20"/>
      <c r="C59" s="19"/>
      <c r="D59" s="19"/>
      <c r="E59" s="19"/>
      <c r="F59" s="19"/>
      <c r="G59" s="19"/>
      <c r="H59" s="19"/>
      <c r="I59" s="19"/>
      <c r="J59" s="20"/>
      <c r="K59" s="20"/>
      <c r="L59" s="19"/>
    </row>
    <row r="60" spans="1:12">
      <c r="A60" s="19"/>
      <c r="B60" s="20"/>
      <c r="C60" s="19"/>
      <c r="D60" s="19"/>
      <c r="E60" s="19"/>
      <c r="F60" s="19"/>
      <c r="G60" s="19"/>
      <c r="H60" s="19"/>
      <c r="I60" s="19"/>
      <c r="J60" s="20"/>
      <c r="K60" s="20"/>
      <c r="L60" s="19"/>
    </row>
    <row r="61" spans="1:12">
      <c r="A61" s="19"/>
      <c r="B61" s="20"/>
      <c r="C61" s="19"/>
      <c r="D61" s="19"/>
      <c r="E61" s="19"/>
      <c r="F61" s="19"/>
      <c r="G61" s="19"/>
      <c r="H61" s="19"/>
      <c r="I61" s="19"/>
      <c r="J61" s="20"/>
      <c r="K61" s="20"/>
      <c r="L61" s="19"/>
    </row>
    <row r="62" spans="1:12">
      <c r="A62" s="19"/>
      <c r="B62" s="20"/>
      <c r="C62" s="19"/>
      <c r="D62" s="19"/>
      <c r="E62" s="19"/>
      <c r="F62" s="19"/>
      <c r="G62" s="19"/>
      <c r="H62" s="19"/>
      <c r="I62" s="19"/>
      <c r="J62" s="20"/>
      <c r="K62" s="20"/>
      <c r="L62" s="19"/>
    </row>
    <row r="63" spans="1:12">
      <c r="A63" s="19"/>
      <c r="B63" s="20"/>
      <c r="C63" s="19"/>
      <c r="D63" s="19"/>
      <c r="E63" s="19"/>
      <c r="F63" s="19"/>
      <c r="G63" s="19"/>
      <c r="H63" s="19"/>
      <c r="I63" s="19"/>
      <c r="J63" s="20"/>
      <c r="K63" s="20"/>
      <c r="L63" s="19"/>
    </row>
    <row r="64" spans="1:12">
      <c r="A64" s="19"/>
      <c r="B64" s="20"/>
      <c r="C64" s="19"/>
      <c r="D64" s="19"/>
      <c r="E64" s="19"/>
      <c r="F64" s="19"/>
      <c r="G64" s="19"/>
      <c r="H64" s="19"/>
      <c r="I64" s="19"/>
      <c r="J64" s="20"/>
      <c r="K64" s="20"/>
      <c r="L64" s="19"/>
    </row>
    <row r="65" spans="1:12">
      <c r="A65" s="19"/>
      <c r="B65" s="20"/>
      <c r="C65" s="19"/>
      <c r="D65" s="19"/>
      <c r="E65" s="19"/>
      <c r="F65" s="19"/>
      <c r="G65" s="19"/>
      <c r="H65" s="19"/>
      <c r="I65" s="19"/>
      <c r="J65" s="20"/>
      <c r="K65" s="20"/>
      <c r="L65" s="19"/>
    </row>
    <row r="66" spans="1:12">
      <c r="A66" s="19"/>
      <c r="B66" s="20"/>
      <c r="C66" s="19"/>
      <c r="D66" s="19"/>
      <c r="E66" s="19"/>
      <c r="F66" s="19"/>
      <c r="G66" s="19"/>
      <c r="H66" s="19"/>
      <c r="I66" s="19"/>
      <c r="J66" s="20"/>
      <c r="K66" s="20"/>
      <c r="L66" s="19"/>
    </row>
    <row r="67" spans="1:12">
      <c r="A67" s="19"/>
      <c r="B67" s="20"/>
      <c r="C67" s="19"/>
      <c r="D67" s="19"/>
      <c r="E67" s="19"/>
      <c r="F67" s="19"/>
      <c r="G67" s="19"/>
      <c r="H67" s="19"/>
      <c r="I67" s="19"/>
      <c r="J67" s="20"/>
      <c r="K67" s="20"/>
      <c r="L67" s="19"/>
    </row>
    <row r="68" spans="1:12">
      <c r="A68" s="19"/>
      <c r="B68" s="20"/>
      <c r="C68" s="19"/>
      <c r="D68" s="19"/>
      <c r="E68" s="19"/>
      <c r="F68" s="19"/>
      <c r="G68" s="19"/>
      <c r="H68" s="19"/>
      <c r="I68" s="19"/>
      <c r="J68" s="20"/>
      <c r="K68" s="20"/>
      <c r="L68" s="19"/>
    </row>
    <row r="69" spans="1:12">
      <c r="A69" s="19"/>
      <c r="B69" s="20"/>
      <c r="C69" s="19"/>
      <c r="D69" s="19"/>
      <c r="E69" s="19"/>
      <c r="F69" s="19"/>
      <c r="G69" s="19"/>
      <c r="H69" s="19"/>
      <c r="I69" s="19"/>
      <c r="J69" s="20"/>
      <c r="K69" s="20"/>
      <c r="L69" s="19"/>
    </row>
    <row r="70" spans="1:12">
      <c r="A70" s="19"/>
      <c r="B70" s="20"/>
      <c r="C70" s="19"/>
      <c r="D70" s="19"/>
      <c r="E70" s="19"/>
      <c r="F70" s="19"/>
      <c r="G70" s="19"/>
      <c r="H70" s="19"/>
      <c r="I70" s="19"/>
      <c r="J70" s="20"/>
      <c r="K70" s="20"/>
      <c r="L70" s="19"/>
    </row>
    <row r="71" spans="1:12">
      <c r="A71" s="19"/>
      <c r="B71" s="20"/>
      <c r="C71" s="19"/>
      <c r="D71" s="19"/>
      <c r="E71" s="19"/>
      <c r="F71" s="19"/>
      <c r="G71" s="19"/>
      <c r="H71" s="19"/>
      <c r="I71" s="19"/>
      <c r="J71" s="20"/>
      <c r="K71" s="20"/>
      <c r="L71" s="19"/>
    </row>
    <row r="72" spans="1:12">
      <c r="A72" s="19"/>
      <c r="B72" s="20"/>
      <c r="C72" s="19"/>
      <c r="D72" s="19"/>
      <c r="E72" s="19"/>
      <c r="F72" s="19"/>
      <c r="G72" s="19"/>
      <c r="H72" s="19"/>
      <c r="I72" s="19"/>
      <c r="J72" s="20"/>
      <c r="K72" s="20"/>
      <c r="L72" s="19"/>
    </row>
    <row r="73" spans="1:12">
      <c r="A73" s="19"/>
      <c r="B73" s="20"/>
      <c r="C73" s="19"/>
      <c r="D73" s="19"/>
      <c r="E73" s="19"/>
      <c r="F73" s="19"/>
      <c r="G73" s="19"/>
      <c r="H73" s="19"/>
      <c r="I73" s="19"/>
      <c r="J73" s="20"/>
      <c r="K73" s="20"/>
      <c r="L73" s="19"/>
    </row>
    <row r="74" spans="1:12">
      <c r="A74" s="19"/>
      <c r="B74" s="20"/>
      <c r="C74" s="19"/>
      <c r="D74" s="19"/>
      <c r="E74" s="19"/>
      <c r="F74" s="19"/>
      <c r="G74" s="19"/>
      <c r="H74" s="19"/>
      <c r="I74" s="19"/>
      <c r="J74" s="20"/>
      <c r="K74" s="20"/>
      <c r="L74" s="19"/>
    </row>
    <row r="75" spans="1:12">
      <c r="A75" s="19"/>
      <c r="B75" s="20"/>
      <c r="C75" s="19"/>
      <c r="D75" s="19"/>
      <c r="E75" s="19"/>
      <c r="F75" s="19"/>
      <c r="G75" s="19"/>
      <c r="H75" s="19"/>
      <c r="I75" s="19"/>
      <c r="J75" s="20"/>
      <c r="K75" s="20"/>
      <c r="L75" s="19"/>
    </row>
    <row r="76" spans="1:12">
      <c r="A76" s="19"/>
      <c r="B76" s="20"/>
      <c r="C76" s="19"/>
      <c r="D76" s="19"/>
      <c r="E76" s="19"/>
      <c r="F76" s="19"/>
      <c r="G76" s="19"/>
      <c r="H76" s="19"/>
      <c r="I76" s="19"/>
      <c r="J76" s="20"/>
      <c r="K76" s="20"/>
      <c r="L76" s="19"/>
    </row>
    <row r="77" spans="1:12">
      <c r="A77" s="19"/>
      <c r="B77" s="20"/>
      <c r="C77" s="19"/>
      <c r="D77" s="19"/>
      <c r="E77" s="19"/>
      <c r="F77" s="19"/>
      <c r="G77" s="19"/>
      <c r="H77" s="19"/>
      <c r="I77" s="19"/>
      <c r="J77" s="20"/>
      <c r="K77" s="20"/>
      <c r="L77" s="19"/>
    </row>
    <row r="78" spans="1:12">
      <c r="A78" s="19"/>
      <c r="B78" s="20"/>
      <c r="C78" s="19"/>
      <c r="D78" s="19"/>
      <c r="E78" s="19"/>
      <c r="F78" s="19"/>
      <c r="G78" s="19"/>
      <c r="H78" s="19"/>
      <c r="I78" s="19"/>
      <c r="J78" s="20"/>
      <c r="K78" s="20"/>
      <c r="L78" s="19"/>
    </row>
    <row r="79" spans="1:12">
      <c r="A79" s="19"/>
      <c r="B79" s="20"/>
      <c r="C79" s="19"/>
      <c r="D79" s="19"/>
      <c r="E79" s="19"/>
      <c r="F79" s="19"/>
      <c r="G79" s="19"/>
      <c r="H79" s="19"/>
      <c r="I79" s="19"/>
      <c r="J79" s="20"/>
      <c r="K79" s="20"/>
      <c r="L79" s="19"/>
    </row>
    <row r="80" spans="1:12">
      <c r="A80" s="19"/>
      <c r="B80" s="20"/>
      <c r="C80" s="19"/>
      <c r="D80" s="19"/>
      <c r="E80" s="19"/>
      <c r="F80" s="19"/>
      <c r="G80" s="19"/>
      <c r="H80" s="19"/>
      <c r="I80" s="19"/>
      <c r="J80" s="20"/>
      <c r="K80" s="20"/>
      <c r="L80" s="19"/>
    </row>
    <row r="81" spans="1:12">
      <c r="A81" s="19"/>
      <c r="B81" s="20"/>
      <c r="C81" s="19"/>
      <c r="D81" s="19"/>
      <c r="E81" s="19"/>
      <c r="F81" s="19"/>
      <c r="G81" s="19"/>
      <c r="H81" s="19"/>
      <c r="I81" s="19"/>
      <c r="J81" s="20"/>
      <c r="K81" s="20"/>
      <c r="L81" s="19"/>
    </row>
    <row r="82" spans="1:12">
      <c r="A82" s="19"/>
      <c r="B82" s="20"/>
      <c r="C82" s="19"/>
      <c r="D82" s="19"/>
      <c r="E82" s="19"/>
      <c r="F82" s="19"/>
      <c r="G82" s="19"/>
      <c r="H82" s="19"/>
      <c r="I82" s="19"/>
      <c r="J82" s="20"/>
      <c r="K82" s="20"/>
      <c r="L82" s="19"/>
    </row>
    <row r="83" spans="1:12">
      <c r="A83" s="19"/>
      <c r="B83" s="20"/>
      <c r="C83" s="19"/>
      <c r="D83" s="19"/>
      <c r="E83" s="19"/>
      <c r="F83" s="19"/>
      <c r="G83" s="19"/>
      <c r="H83" s="19"/>
      <c r="I83" s="19"/>
      <c r="J83" s="20"/>
      <c r="K83" s="20"/>
      <c r="L83" s="19"/>
    </row>
    <row r="84" spans="1:12">
      <c r="A84" s="19"/>
      <c r="B84" s="20"/>
      <c r="C84" s="19"/>
      <c r="D84" s="19"/>
      <c r="E84" s="19"/>
      <c r="F84" s="19"/>
      <c r="G84" s="19"/>
      <c r="H84" s="19"/>
      <c r="I84" s="19"/>
      <c r="J84" s="20"/>
      <c r="K84" s="20"/>
      <c r="L84" s="19"/>
    </row>
    <row r="85" spans="1:12">
      <c r="A85" s="19"/>
      <c r="B85" s="20"/>
      <c r="C85" s="19"/>
      <c r="D85" s="19"/>
      <c r="E85" s="19"/>
      <c r="F85" s="19"/>
      <c r="G85" s="19"/>
      <c r="H85" s="19"/>
      <c r="I85" s="19"/>
      <c r="J85" s="20"/>
      <c r="K85" s="20"/>
      <c r="L85" s="19"/>
    </row>
    <row r="86" spans="1:12">
      <c r="A86" s="19"/>
      <c r="B86" s="20"/>
      <c r="C86" s="19"/>
      <c r="D86" s="19"/>
      <c r="E86" s="19"/>
      <c r="F86" s="19"/>
      <c r="G86" s="19"/>
      <c r="H86" s="19"/>
      <c r="I86" s="19"/>
      <c r="J86" s="20"/>
      <c r="K86" s="20"/>
      <c r="L86" s="19"/>
    </row>
    <row r="87" spans="1:12">
      <c r="A87" s="19"/>
      <c r="B87" s="20"/>
      <c r="C87" s="19"/>
      <c r="D87" s="19"/>
      <c r="E87" s="19"/>
      <c r="F87" s="19"/>
      <c r="G87" s="19"/>
      <c r="H87" s="19"/>
      <c r="I87" s="19"/>
      <c r="J87" s="20"/>
      <c r="K87" s="20"/>
      <c r="L87" s="19"/>
    </row>
    <row r="88" spans="1:12">
      <c r="A88" s="19"/>
      <c r="B88" s="20"/>
      <c r="C88" s="19"/>
      <c r="D88" s="19"/>
      <c r="E88" s="19"/>
      <c r="F88" s="19"/>
      <c r="G88" s="19"/>
      <c r="H88" s="19"/>
      <c r="I88" s="19"/>
      <c r="J88" s="20"/>
      <c r="K88" s="20"/>
      <c r="L88" s="19"/>
    </row>
    <row r="89" spans="1:12">
      <c r="A89" s="19"/>
      <c r="B89" s="20"/>
      <c r="C89" s="19"/>
      <c r="D89" s="19"/>
      <c r="E89" s="19"/>
      <c r="F89" s="19"/>
      <c r="G89" s="19"/>
      <c r="H89" s="19"/>
      <c r="I89" s="19"/>
      <c r="J89" s="20"/>
      <c r="K89" s="20"/>
      <c r="L89" s="19"/>
    </row>
    <row r="90" spans="1:12">
      <c r="A90" s="19"/>
      <c r="B90" s="20"/>
      <c r="C90" s="19"/>
      <c r="D90" s="19"/>
      <c r="E90" s="19"/>
      <c r="F90" s="19"/>
      <c r="G90" s="19"/>
      <c r="H90" s="19"/>
      <c r="I90" s="19"/>
      <c r="J90" s="20"/>
      <c r="K90" s="20"/>
      <c r="L90" s="19"/>
    </row>
    <row r="91" spans="1:12">
      <c r="A91" s="19"/>
      <c r="B91" s="20"/>
      <c r="C91" s="19"/>
      <c r="D91" s="19"/>
      <c r="E91" s="19"/>
      <c r="F91" s="19"/>
      <c r="G91" s="19"/>
      <c r="H91" s="19"/>
      <c r="I91" s="19"/>
      <c r="J91" s="20"/>
      <c r="K91" s="20"/>
      <c r="L91" s="19"/>
    </row>
    <row r="92" spans="1:12">
      <c r="A92" s="19"/>
      <c r="B92" s="20"/>
      <c r="C92" s="19"/>
      <c r="D92" s="19"/>
      <c r="E92" s="19"/>
      <c r="F92" s="19"/>
      <c r="G92" s="19"/>
      <c r="H92" s="19"/>
      <c r="I92" s="19"/>
      <c r="J92" s="20"/>
      <c r="K92" s="20"/>
      <c r="L92" s="19"/>
    </row>
    <row r="93" spans="1:12">
      <c r="A93" s="19"/>
      <c r="B93" s="20"/>
      <c r="C93" s="19"/>
      <c r="D93" s="19"/>
      <c r="E93" s="19"/>
      <c r="F93" s="19"/>
      <c r="G93" s="19"/>
      <c r="H93" s="19"/>
      <c r="I93" s="19"/>
      <c r="J93" s="20"/>
      <c r="K93" s="20"/>
      <c r="L93" s="19"/>
    </row>
    <row r="94" spans="1:12">
      <c r="A94" s="19"/>
      <c r="B94" s="20"/>
      <c r="C94" s="19"/>
      <c r="D94" s="19"/>
      <c r="E94" s="19"/>
      <c r="F94" s="19"/>
      <c r="G94" s="19"/>
      <c r="H94" s="19"/>
      <c r="I94" s="19"/>
      <c r="J94" s="20"/>
      <c r="K94" s="20"/>
      <c r="L94" s="19"/>
    </row>
    <row r="95" spans="1:12">
      <c r="A95" s="19"/>
      <c r="B95" s="20"/>
      <c r="C95" s="19"/>
      <c r="D95" s="19"/>
      <c r="E95" s="19"/>
      <c r="F95" s="19"/>
      <c r="G95" s="19"/>
      <c r="H95" s="19"/>
      <c r="I95" s="19"/>
      <c r="J95" s="20"/>
      <c r="K95" s="20"/>
      <c r="L95" s="19"/>
    </row>
    <row r="96" spans="1:12">
      <c r="A96" s="19"/>
      <c r="B96" s="20"/>
      <c r="C96" s="19"/>
      <c r="D96" s="19"/>
      <c r="E96" s="19"/>
      <c r="F96" s="19"/>
      <c r="G96" s="19"/>
      <c r="H96" s="19"/>
      <c r="I96" s="19"/>
      <c r="J96" s="20"/>
      <c r="K96" s="20"/>
      <c r="L96" s="19"/>
    </row>
    <row r="97" spans="1:12">
      <c r="A97" s="19"/>
      <c r="B97" s="20"/>
      <c r="C97" s="19"/>
      <c r="D97" s="19"/>
      <c r="E97" s="19"/>
      <c r="F97" s="19"/>
      <c r="G97" s="19"/>
      <c r="H97" s="19"/>
      <c r="I97" s="19"/>
      <c r="J97" s="20"/>
      <c r="K97" s="20"/>
      <c r="L97" s="19"/>
    </row>
    <row r="98" spans="1:12">
      <c r="A98" s="19"/>
      <c r="B98" s="20"/>
      <c r="C98" s="19"/>
      <c r="D98" s="19"/>
      <c r="E98" s="19"/>
      <c r="F98" s="19"/>
      <c r="G98" s="19"/>
      <c r="H98" s="19"/>
      <c r="I98" s="19"/>
      <c r="J98" s="20"/>
      <c r="K98" s="20"/>
      <c r="L98" s="19"/>
    </row>
    <row r="99" spans="1:12">
      <c r="A99" s="19"/>
      <c r="B99" s="20"/>
      <c r="C99" s="19"/>
      <c r="D99" s="19"/>
      <c r="E99" s="19"/>
      <c r="F99" s="19"/>
      <c r="G99" s="19"/>
      <c r="H99" s="19"/>
      <c r="I99" s="19"/>
      <c r="J99" s="20"/>
      <c r="K99" s="20"/>
      <c r="L99" s="19"/>
    </row>
    <row r="100" spans="1:12">
      <c r="A100" s="19"/>
      <c r="B100" s="20"/>
      <c r="C100" s="19"/>
      <c r="D100" s="19"/>
      <c r="E100" s="19"/>
      <c r="F100" s="19"/>
      <c r="G100" s="19"/>
      <c r="H100" s="19"/>
      <c r="I100" s="19"/>
      <c r="J100" s="20"/>
      <c r="K100" s="20"/>
      <c r="L100" s="19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G11"/>
  <sheetViews>
    <sheetView workbookViewId="0"/>
  </sheetViews>
  <sheetFormatPr defaultColWidth="8.81640625" defaultRowHeight="14.5"/>
  <cols>
    <col min="1" max="1" width="17.54296875" bestFit="1" customWidth="1"/>
    <col min="2" max="2" width="8" bestFit="1" customWidth="1"/>
    <col min="3" max="3" width="24.90625" bestFit="1" customWidth="1"/>
    <col min="4" max="4" width="35.36328125" bestFit="1" customWidth="1"/>
    <col min="5" max="5" width="18.7265625" customWidth="1"/>
    <col min="6" max="6" width="14.6328125" customWidth="1"/>
    <col min="7" max="7" width="14.26953125" customWidth="1"/>
  </cols>
  <sheetData>
    <row r="1" spans="1:7">
      <c r="A1" s="1" t="s">
        <v>222</v>
      </c>
      <c r="B1" s="1" t="s">
        <v>79</v>
      </c>
      <c r="C1" s="1" t="s">
        <v>80</v>
      </c>
      <c r="D1" s="1" t="s">
        <v>173</v>
      </c>
      <c r="E1" s="1" t="s">
        <v>177</v>
      </c>
      <c r="F1" s="1" t="s">
        <v>223</v>
      </c>
      <c r="G1" s="1" t="s">
        <v>137</v>
      </c>
    </row>
    <row r="2" spans="1:7">
      <c r="A2" t="str">
        <f>Renewal_Calendar!B2</f>
        <v>VAT Filing</v>
      </c>
      <c r="B2" t="str">
        <f>Renewal_Calendar!C2</f>
        <v>E-001</v>
      </c>
      <c r="C2" t="str">
        <f>Renewal_Calendar!D2</f>
        <v>Symax Group Limited</v>
      </c>
      <c r="D2" t="str">
        <f>Renewal_Calendar!E2</f>
        <v>VAT return filing (most entities quarterly)</v>
      </c>
      <c r="E2" t="str">
        <f>Renewal_Calendar!F2</f>
        <v/>
      </c>
      <c r="F2" t="str">
        <f ca="1">Renewal_Calendar!I2</f>
        <v/>
      </c>
      <c r="G2" t="str">
        <f ca="1">Renewal_Calendar!K2</f>
        <v/>
      </c>
    </row>
    <row r="3" spans="1:7">
      <c r="A3" t="str">
        <f>Renewal_Calendar!B3</f>
        <v>Corporate Tax Filing</v>
      </c>
      <c r="B3" t="str">
        <f>Renewal_Calendar!C3</f>
        <v>E-001</v>
      </c>
      <c r="C3" t="str">
        <f>Renewal_Calendar!D3</f>
        <v>Symax Group Limited</v>
      </c>
      <c r="D3" t="str">
        <f>Renewal_Calendar!E3</f>
        <v>Corporate tax return filing</v>
      </c>
      <c r="E3" t="str">
        <f>Renewal_Calendar!F3</f>
        <v/>
      </c>
      <c r="F3" t="str">
        <f ca="1">Renewal_Calendar!I3</f>
        <v/>
      </c>
      <c r="G3" t="str">
        <f ca="1">Renewal_Calendar!K3</f>
        <v/>
      </c>
    </row>
    <row r="4" spans="1:7">
      <c r="A4" t="str">
        <f>Renewal_Calendar!B4</f>
        <v>VAT Filing</v>
      </c>
      <c r="B4" t="str">
        <f>Renewal_Calendar!C4</f>
        <v>E-002</v>
      </c>
      <c r="C4" t="str">
        <f>Renewal_Calendar!D4</f>
        <v>Mycom Holding Limited</v>
      </c>
      <c r="D4" t="str">
        <f>Renewal_Calendar!E4</f>
        <v>VAT return filing (most entities quarterly)</v>
      </c>
      <c r="E4" t="str">
        <f>Renewal_Calendar!F4</f>
        <v/>
      </c>
      <c r="F4" t="str">
        <f ca="1">Renewal_Calendar!I4</f>
        <v/>
      </c>
      <c r="G4" t="str">
        <f ca="1">Renewal_Calendar!K4</f>
        <v/>
      </c>
    </row>
    <row r="5" spans="1:7">
      <c r="A5" t="str">
        <f>Renewal_Calendar!B5</f>
        <v>Corporate Tax Filing</v>
      </c>
      <c r="B5" t="str">
        <f>Renewal_Calendar!C5</f>
        <v>E-002</v>
      </c>
      <c r="C5" t="str">
        <f>Renewal_Calendar!D5</f>
        <v>Mycom Holding Limited</v>
      </c>
      <c r="D5" t="str">
        <f>Renewal_Calendar!E5</f>
        <v>Corporate tax return filing</v>
      </c>
      <c r="E5" t="str">
        <f>Renewal_Calendar!F5</f>
        <v/>
      </c>
      <c r="F5" t="str">
        <f ca="1">Renewal_Calendar!I5</f>
        <v/>
      </c>
      <c r="G5" t="str">
        <f ca="1">Renewal_Calendar!K5</f>
        <v/>
      </c>
    </row>
    <row r="6" spans="1:7">
      <c r="A6" t="str">
        <f>Renewal_Calendar!B6</f>
        <v>VAT Filing</v>
      </c>
      <c r="B6" t="str">
        <f>Renewal_Calendar!C6</f>
        <v>E-003</v>
      </c>
      <c r="C6" t="str">
        <f>Renewal_Calendar!D6</f>
        <v>Amertaat Ltd.</v>
      </c>
      <c r="D6" t="str">
        <f>Renewal_Calendar!E6</f>
        <v>VAT return filing (most entities quarterly)</v>
      </c>
      <c r="E6" t="str">
        <f>Renewal_Calendar!F6</f>
        <v/>
      </c>
      <c r="F6" t="str">
        <f ca="1">Renewal_Calendar!I6</f>
        <v/>
      </c>
      <c r="G6" t="str">
        <f ca="1">Renewal_Calendar!K6</f>
        <v/>
      </c>
    </row>
    <row r="7" spans="1:7">
      <c r="A7" t="str">
        <f>Renewal_Calendar!B7</f>
        <v>Corporate Tax Filing</v>
      </c>
      <c r="B7" t="str">
        <f>Renewal_Calendar!C7</f>
        <v>E-003</v>
      </c>
      <c r="C7" t="str">
        <f>Renewal_Calendar!D7</f>
        <v>Amertaat Ltd.</v>
      </c>
      <c r="D7" t="str">
        <f>Renewal_Calendar!E7</f>
        <v>Corporate tax return filing</v>
      </c>
      <c r="E7" t="str">
        <f>Renewal_Calendar!F7</f>
        <v/>
      </c>
      <c r="F7" t="str">
        <f ca="1">Renewal_Calendar!I7</f>
        <v/>
      </c>
      <c r="G7" t="str">
        <f ca="1">Renewal_Calendar!K7</f>
        <v/>
      </c>
    </row>
    <row r="8" spans="1:7">
      <c r="A8" t="str">
        <f>Renewal_Calendar!B8</f>
        <v>VAT Filing</v>
      </c>
      <c r="B8" t="str">
        <f>Renewal_Calendar!C8</f>
        <v>E-004</v>
      </c>
      <c r="C8" t="str">
        <f>Renewal_Calendar!D8</f>
        <v>One Media Tech Holding Inc.</v>
      </c>
      <c r="D8" t="str">
        <f>Renewal_Calendar!E8</f>
        <v>VAT return filing (most entities quarterly)</v>
      </c>
      <c r="E8" t="str">
        <f>Renewal_Calendar!F8</f>
        <v/>
      </c>
      <c r="F8" t="str">
        <f ca="1">Renewal_Calendar!I8</f>
        <v/>
      </c>
      <c r="G8" t="str">
        <f ca="1">Renewal_Calendar!K8</f>
        <v/>
      </c>
    </row>
    <row r="9" spans="1:7">
      <c r="A9" t="str">
        <f>Renewal_Calendar!B9</f>
        <v>Corporate Tax Filing</v>
      </c>
      <c r="B9" t="str">
        <f>Renewal_Calendar!C9</f>
        <v>E-004</v>
      </c>
      <c r="C9" t="str">
        <f>Renewal_Calendar!D9</f>
        <v>One Media Tech Holding Inc.</v>
      </c>
      <c r="D9" t="str">
        <f>Renewal_Calendar!E9</f>
        <v>Corporate tax return filing</v>
      </c>
      <c r="E9" t="str">
        <f>Renewal_Calendar!F9</f>
        <v/>
      </c>
      <c r="F9" t="str">
        <f ca="1">Renewal_Calendar!I9</f>
        <v/>
      </c>
      <c r="G9" t="str">
        <f ca="1">Renewal_Calendar!K9</f>
        <v/>
      </c>
    </row>
    <row r="10" spans="1:7">
      <c r="A10" t="str">
        <f>Renewal_Calendar!B10</f>
        <v>VAT Filing</v>
      </c>
      <c r="B10" t="str">
        <f>Renewal_Calendar!C10</f>
        <v>E-005</v>
      </c>
      <c r="C10" t="str">
        <f>Renewal_Calendar!D10</f>
        <v>Symax General Trading LLC</v>
      </c>
      <c r="D10" t="str">
        <f>Renewal_Calendar!E10</f>
        <v>VAT return filing (most entities quarterly)</v>
      </c>
      <c r="E10" t="str">
        <f>Renewal_Calendar!F10</f>
        <v/>
      </c>
      <c r="F10" t="str">
        <f ca="1">Renewal_Calendar!I10</f>
        <v/>
      </c>
      <c r="G10" t="str">
        <f ca="1">Renewal_Calendar!K10</f>
        <v/>
      </c>
    </row>
    <row r="11" spans="1:7">
      <c r="A11" t="str">
        <f>Renewal_Calendar!B11</f>
        <v>Corporate Tax Filing</v>
      </c>
      <c r="B11" t="str">
        <f>Renewal_Calendar!C11</f>
        <v>E-005</v>
      </c>
      <c r="C11" t="str">
        <f>Renewal_Calendar!D11</f>
        <v>Symax General Trading LLC</v>
      </c>
      <c r="D11" t="str">
        <f>Renewal_Calendar!E11</f>
        <v>Corporate tax return filing</v>
      </c>
      <c r="E11" t="str">
        <f>Renewal_Calendar!F11</f>
        <v/>
      </c>
      <c r="F11" t="str">
        <f ca="1">Renewal_Calendar!I11</f>
        <v/>
      </c>
      <c r="G11" t="str">
        <f ca="1">Renewal_Calendar!K11</f>
        <v/>
      </c>
    </row>
  </sheetData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</sheetPr>
  <dimension ref="A1:L100"/>
  <sheetViews>
    <sheetView showGridLines="0" workbookViewId="0">
      <pane ySplit="1" topLeftCell="A7" activePane="bottomLeft" state="frozen"/>
      <selection activeCell="A101" sqref="A101:XFD501"/>
      <selection pane="bottomLeft" activeCell="E14" sqref="E14"/>
    </sheetView>
  </sheetViews>
  <sheetFormatPr defaultColWidth="8.81640625" defaultRowHeight="15.5"/>
  <cols>
    <col min="1" max="1" width="12.36328125" style="17" bestFit="1" customWidth="1"/>
    <col min="2" max="2" width="17.6328125" style="17" bestFit="1" customWidth="1"/>
    <col min="3" max="3" width="13.36328125" style="17" bestFit="1" customWidth="1"/>
    <col min="4" max="4" width="29.36328125" style="17" bestFit="1" customWidth="1"/>
    <col min="5" max="5" width="35.81640625" style="17" bestFit="1" customWidth="1"/>
    <col min="6" max="6" width="14" style="17" bestFit="1" customWidth="1"/>
    <col min="7" max="7" width="23.6328125" style="17" bestFit="1" customWidth="1"/>
    <col min="8" max="8" width="11.36328125" style="17" bestFit="1" customWidth="1"/>
    <col min="9" max="9" width="22.1796875" style="17" bestFit="1" customWidth="1"/>
    <col min="10" max="10" width="15.453125" style="17" bestFit="1" customWidth="1"/>
    <col min="11" max="11" width="24" style="17" customWidth="1"/>
    <col min="12" max="12" width="11" style="17" bestFit="1" customWidth="1"/>
    <col min="13" max="16384" width="8.81640625" style="17"/>
  </cols>
  <sheetData>
    <row r="1" spans="1:12" ht="31">
      <c r="A1" s="18" t="s">
        <v>181</v>
      </c>
      <c r="B1" s="18" t="s">
        <v>182</v>
      </c>
      <c r="C1" s="18" t="s">
        <v>79</v>
      </c>
      <c r="D1" s="18" t="s">
        <v>183</v>
      </c>
      <c r="E1" s="18" t="s">
        <v>173</v>
      </c>
      <c r="F1" s="18" t="s">
        <v>177</v>
      </c>
      <c r="G1" s="18" t="s">
        <v>184</v>
      </c>
      <c r="H1" s="18" t="s">
        <v>137</v>
      </c>
      <c r="I1" s="18" t="s">
        <v>147</v>
      </c>
      <c r="J1" s="18" t="s">
        <v>185</v>
      </c>
      <c r="K1" s="18" t="s">
        <v>149</v>
      </c>
      <c r="L1" s="18" t="s">
        <v>88</v>
      </c>
    </row>
    <row r="2" spans="1:12">
      <c r="A2" s="17" t="s">
        <v>186</v>
      </c>
      <c r="B2" s="17" t="s">
        <v>187</v>
      </c>
      <c r="C2" s="17" t="s">
        <v>89</v>
      </c>
      <c r="D2" s="17" t="str">
        <f>IF(C2="","",IFERROR(VLOOKUP(C2,Entity_Master!$A:$B,2,FALSE),""))</f>
        <v>Symax Group Limited</v>
      </c>
      <c r="E2" s="17" t="s">
        <v>188</v>
      </c>
      <c r="F2" s="17" t="str">
        <f>IFERROR(INDEX(VAT_Regulatory_Matrix!$J:$J,MATCH($C2,VAT_Regulatory_Matrix!$A:$A,0)),"")</f>
        <v/>
      </c>
      <c r="G2" s="17" t="s">
        <v>189</v>
      </c>
      <c r="H2" s="17" t="s">
        <v>33</v>
      </c>
      <c r="I2" s="17" t="str">
        <f t="shared" ref="I2:I65" ca="1" si="0">IF(F2="","",F2-TODAY())</f>
        <v/>
      </c>
      <c r="J2" s="17" t="str">
        <f t="shared" ref="J2:J65" ca="1" si="1">IF(I2="","",IF(I2&lt;0,"Red",IF(I2&lt;=30,"Amber","Green")))</f>
        <v/>
      </c>
      <c r="K2" s="17" t="str">
        <f t="shared" ref="K2:K65" ca="1" si="2">IF(J2="Red","OVERDUE",IF(J2="Amber","DUE SOON",""))</f>
        <v/>
      </c>
    </row>
    <row r="3" spans="1:12">
      <c r="A3" s="17" t="s">
        <v>190</v>
      </c>
      <c r="B3" s="17" t="s">
        <v>191</v>
      </c>
      <c r="C3" s="17" t="s">
        <v>89</v>
      </c>
      <c r="D3" s="17" t="str">
        <f>IF(C3="","",IFERROR(VLOOKUP(C3,Entity_Master!$A:$B,2,FALSE),""))</f>
        <v>Symax Group Limited</v>
      </c>
      <c r="E3" s="17" t="s">
        <v>192</v>
      </c>
      <c r="F3" s="17" t="str">
        <f>IFERROR(INDEX(VAT_Regulatory_Matrix!$J:$J,MATCH($C3,VAT_Regulatory_Matrix!$A:$A,0)),"")</f>
        <v/>
      </c>
      <c r="G3" s="17" t="s">
        <v>189</v>
      </c>
      <c r="H3" s="17" t="s">
        <v>33</v>
      </c>
      <c r="I3" s="17" t="str">
        <f t="shared" ca="1" si="0"/>
        <v/>
      </c>
      <c r="J3" s="17" t="str">
        <f t="shared" ca="1" si="1"/>
        <v/>
      </c>
      <c r="K3" s="17" t="str">
        <f t="shared" ca="1" si="2"/>
        <v/>
      </c>
    </row>
    <row r="4" spans="1:12">
      <c r="A4" s="17" t="s">
        <v>193</v>
      </c>
      <c r="B4" s="17" t="s">
        <v>187</v>
      </c>
      <c r="C4" s="17" t="s">
        <v>91</v>
      </c>
      <c r="D4" s="17" t="str">
        <f>IF(C4="","",IFERROR(VLOOKUP(C4,Entity_Master!$A:$B,2,FALSE),""))</f>
        <v>Mycom Holding Limited</v>
      </c>
      <c r="E4" s="17" t="s">
        <v>188</v>
      </c>
      <c r="F4" s="17" t="str">
        <f>IFERROR(INDEX(VAT_Regulatory_Matrix!$J:$J,MATCH($C4,VAT_Regulatory_Matrix!$A:$A,0)),"")</f>
        <v/>
      </c>
      <c r="G4" s="17" t="s">
        <v>189</v>
      </c>
      <c r="H4" s="17" t="s">
        <v>33</v>
      </c>
      <c r="I4" s="17" t="str">
        <f t="shared" ca="1" si="0"/>
        <v/>
      </c>
      <c r="J4" s="17" t="str">
        <f t="shared" ca="1" si="1"/>
        <v/>
      </c>
      <c r="K4" s="17" t="str">
        <f t="shared" ca="1" si="2"/>
        <v/>
      </c>
    </row>
    <row r="5" spans="1:12">
      <c r="A5" s="17" t="s">
        <v>194</v>
      </c>
      <c r="B5" s="17" t="s">
        <v>191</v>
      </c>
      <c r="C5" s="17" t="s">
        <v>91</v>
      </c>
      <c r="D5" s="17" t="str">
        <f>IF(C5="","",IFERROR(VLOOKUP(C5,Entity_Master!$A:$B,2,FALSE),""))</f>
        <v>Mycom Holding Limited</v>
      </c>
      <c r="E5" s="17" t="s">
        <v>192</v>
      </c>
      <c r="F5" s="17" t="str">
        <f>IFERROR(INDEX(VAT_Regulatory_Matrix!$J:$J,MATCH($C5,VAT_Regulatory_Matrix!$A:$A,0)),"")</f>
        <v/>
      </c>
      <c r="G5" s="17" t="s">
        <v>189</v>
      </c>
      <c r="H5" s="17" t="s">
        <v>33</v>
      </c>
      <c r="I5" s="17" t="str">
        <f t="shared" ca="1" si="0"/>
        <v/>
      </c>
      <c r="J5" s="17" t="str">
        <f t="shared" ca="1" si="1"/>
        <v/>
      </c>
      <c r="K5" s="17" t="str">
        <f t="shared" ca="1" si="2"/>
        <v/>
      </c>
    </row>
    <row r="6" spans="1:12">
      <c r="A6" s="17" t="s">
        <v>195</v>
      </c>
      <c r="B6" s="17" t="s">
        <v>187</v>
      </c>
      <c r="C6" s="17" t="s">
        <v>92</v>
      </c>
      <c r="D6" s="17" t="str">
        <f>IF(C6="","",IFERROR(VLOOKUP(C6,Entity_Master!$A:$B,2,FALSE),""))</f>
        <v>Amertaat Ltd.</v>
      </c>
      <c r="E6" s="17" t="s">
        <v>188</v>
      </c>
      <c r="F6" s="17" t="str">
        <f>IFERROR(INDEX(VAT_Regulatory_Matrix!$J:$J,MATCH($C6,VAT_Regulatory_Matrix!$A:$A,0)),"")</f>
        <v/>
      </c>
      <c r="G6" s="17" t="s">
        <v>189</v>
      </c>
      <c r="H6" s="17" t="s">
        <v>33</v>
      </c>
      <c r="I6" s="17" t="str">
        <f t="shared" ca="1" si="0"/>
        <v/>
      </c>
      <c r="J6" s="17" t="str">
        <f t="shared" ca="1" si="1"/>
        <v/>
      </c>
      <c r="K6" s="17" t="str">
        <f t="shared" ca="1" si="2"/>
        <v/>
      </c>
    </row>
    <row r="7" spans="1:12">
      <c r="A7" s="17" t="s">
        <v>196</v>
      </c>
      <c r="B7" s="17" t="s">
        <v>191</v>
      </c>
      <c r="C7" s="17" t="s">
        <v>92</v>
      </c>
      <c r="D7" s="17" t="str">
        <f>IF(C7="","",IFERROR(VLOOKUP(C7,Entity_Master!$A:$B,2,FALSE),""))</f>
        <v>Amertaat Ltd.</v>
      </c>
      <c r="E7" s="17" t="s">
        <v>192</v>
      </c>
      <c r="F7" s="17" t="str">
        <f>IFERROR(INDEX(VAT_Regulatory_Matrix!$J:$J,MATCH($C7,VAT_Regulatory_Matrix!$A:$A,0)),"")</f>
        <v/>
      </c>
      <c r="G7" s="17" t="s">
        <v>189</v>
      </c>
      <c r="H7" s="17" t="s">
        <v>33</v>
      </c>
      <c r="I7" s="17" t="str">
        <f t="shared" ca="1" si="0"/>
        <v/>
      </c>
      <c r="J7" s="17" t="str">
        <f t="shared" ca="1" si="1"/>
        <v/>
      </c>
      <c r="K7" s="17" t="str">
        <f t="shared" ca="1" si="2"/>
        <v/>
      </c>
    </row>
    <row r="8" spans="1:12">
      <c r="A8" s="17" t="s">
        <v>197</v>
      </c>
      <c r="B8" s="17" t="s">
        <v>187</v>
      </c>
      <c r="C8" s="17" t="s">
        <v>94</v>
      </c>
      <c r="D8" s="17" t="str">
        <f>IF(C8="","",IFERROR(VLOOKUP(C8,Entity_Master!$A:$B,2,FALSE),""))</f>
        <v>One Media Tech Holding Inc.</v>
      </c>
      <c r="E8" s="17" t="s">
        <v>188</v>
      </c>
      <c r="F8" s="17" t="str">
        <f>IFERROR(INDEX(VAT_Regulatory_Matrix!$J:$J,MATCH($C8,VAT_Regulatory_Matrix!$A:$A,0)),"")</f>
        <v/>
      </c>
      <c r="G8" s="17" t="s">
        <v>189</v>
      </c>
      <c r="H8" s="17" t="s">
        <v>33</v>
      </c>
      <c r="I8" s="17" t="str">
        <f t="shared" ca="1" si="0"/>
        <v/>
      </c>
      <c r="J8" s="17" t="str">
        <f t="shared" ca="1" si="1"/>
        <v/>
      </c>
      <c r="K8" s="17" t="str">
        <f t="shared" ca="1" si="2"/>
        <v/>
      </c>
    </row>
    <row r="9" spans="1:12">
      <c r="A9" s="17" t="s">
        <v>198</v>
      </c>
      <c r="B9" s="17" t="s">
        <v>191</v>
      </c>
      <c r="C9" s="17" t="s">
        <v>94</v>
      </c>
      <c r="D9" s="17" t="str">
        <f>IF(C9="","",IFERROR(VLOOKUP(C9,Entity_Master!$A:$B,2,FALSE),""))</f>
        <v>One Media Tech Holding Inc.</v>
      </c>
      <c r="E9" s="17" t="s">
        <v>192</v>
      </c>
      <c r="F9" s="17" t="str">
        <f>IFERROR(INDEX(VAT_Regulatory_Matrix!$J:$J,MATCH($C9,VAT_Regulatory_Matrix!$A:$A,0)),"")</f>
        <v/>
      </c>
      <c r="G9" s="17" t="s">
        <v>189</v>
      </c>
      <c r="H9" s="17" t="s">
        <v>33</v>
      </c>
      <c r="I9" s="17" t="str">
        <f t="shared" ca="1" si="0"/>
        <v/>
      </c>
      <c r="J9" s="17" t="str">
        <f t="shared" ca="1" si="1"/>
        <v/>
      </c>
      <c r="K9" s="17" t="str">
        <f t="shared" ca="1" si="2"/>
        <v/>
      </c>
    </row>
    <row r="10" spans="1:12">
      <c r="A10" s="17" t="s">
        <v>199</v>
      </c>
      <c r="B10" s="17" t="s">
        <v>187</v>
      </c>
      <c r="C10" s="17" t="s">
        <v>96</v>
      </c>
      <c r="D10" s="17" t="str">
        <f>IF(C10="","",IFERROR(VLOOKUP(C10,Entity_Master!$A:$B,2,FALSE),""))</f>
        <v>Symax General Trading LLC</v>
      </c>
      <c r="E10" s="17" t="s">
        <v>188</v>
      </c>
      <c r="F10" s="17" t="str">
        <f>IFERROR(INDEX(VAT_Regulatory_Matrix!$J:$J,MATCH($C10,VAT_Regulatory_Matrix!$A:$A,0)),"")</f>
        <v/>
      </c>
      <c r="G10" s="17" t="s">
        <v>189</v>
      </c>
      <c r="H10" s="17" t="s">
        <v>33</v>
      </c>
      <c r="I10" s="17" t="str">
        <f t="shared" ca="1" si="0"/>
        <v/>
      </c>
      <c r="J10" s="17" t="str">
        <f t="shared" ca="1" si="1"/>
        <v/>
      </c>
      <c r="K10" s="17" t="str">
        <f t="shared" ca="1" si="2"/>
        <v/>
      </c>
    </row>
    <row r="11" spans="1:12">
      <c r="A11" s="17" t="s">
        <v>200</v>
      </c>
      <c r="B11" s="17" t="s">
        <v>191</v>
      </c>
      <c r="C11" s="17" t="s">
        <v>96</v>
      </c>
      <c r="D11" s="17" t="str">
        <f>IF(C11="","",IFERROR(VLOOKUP(C11,Entity_Master!$A:$B,2,FALSE),""))</f>
        <v>Symax General Trading LLC</v>
      </c>
      <c r="E11" s="17" t="s">
        <v>192</v>
      </c>
      <c r="F11" s="17" t="str">
        <f>IFERROR(INDEX(VAT_Regulatory_Matrix!$J:$J,MATCH($C11,VAT_Regulatory_Matrix!$A:$A,0)),"")</f>
        <v/>
      </c>
      <c r="G11" s="17" t="s">
        <v>189</v>
      </c>
      <c r="H11" s="17" t="s">
        <v>33</v>
      </c>
      <c r="I11" s="17" t="str">
        <f t="shared" ca="1" si="0"/>
        <v/>
      </c>
      <c r="J11" s="17" t="str">
        <f t="shared" ca="1" si="1"/>
        <v/>
      </c>
      <c r="K11" s="17" t="str">
        <f t="shared" ca="1" si="2"/>
        <v/>
      </c>
    </row>
    <row r="12" spans="1:12">
      <c r="A12" s="17" t="s">
        <v>201</v>
      </c>
      <c r="B12" s="17" t="s">
        <v>187</v>
      </c>
      <c r="C12" s="17" t="s">
        <v>98</v>
      </c>
      <c r="D12" s="17" t="str">
        <f>IF(C12="","",IFERROR(VLOOKUP(C12,Entity_Master!$A:$B,2,FALSE),""))</f>
        <v>Symax Law FZCO</v>
      </c>
      <c r="E12" s="17" t="s">
        <v>188</v>
      </c>
      <c r="F12" s="17" t="str">
        <f>IFERROR(INDEX(VAT_Regulatory_Matrix!$J:$J,MATCH($C12,VAT_Regulatory_Matrix!$A:$A,0)),"")</f>
        <v/>
      </c>
      <c r="G12" s="17" t="s">
        <v>189</v>
      </c>
      <c r="H12" s="17" t="s">
        <v>33</v>
      </c>
      <c r="I12" s="17" t="str">
        <f t="shared" ca="1" si="0"/>
        <v/>
      </c>
      <c r="J12" s="17" t="str">
        <f t="shared" ca="1" si="1"/>
        <v/>
      </c>
      <c r="K12" s="17" t="str">
        <f t="shared" ca="1" si="2"/>
        <v/>
      </c>
    </row>
    <row r="13" spans="1:12">
      <c r="A13" s="17" t="s">
        <v>202</v>
      </c>
      <c r="B13" s="17" t="s">
        <v>191</v>
      </c>
      <c r="C13" s="17" t="s">
        <v>98</v>
      </c>
      <c r="D13" s="17" t="str">
        <f>IF(C13="","",IFERROR(VLOOKUP(C13,Entity_Master!$A:$B,2,FALSE),""))</f>
        <v>Symax Law FZCO</v>
      </c>
      <c r="E13" s="17" t="s">
        <v>192</v>
      </c>
      <c r="F13" s="17" t="str">
        <f>IFERROR(INDEX(VAT_Regulatory_Matrix!$J:$J,MATCH($C13,VAT_Regulatory_Matrix!$A:$A,0)),"")</f>
        <v/>
      </c>
      <c r="G13" s="17" t="s">
        <v>189</v>
      </c>
      <c r="H13" s="17" t="s">
        <v>33</v>
      </c>
      <c r="I13" s="17" t="str">
        <f t="shared" ca="1" si="0"/>
        <v/>
      </c>
      <c r="J13" s="17" t="str">
        <f t="shared" ca="1" si="1"/>
        <v/>
      </c>
      <c r="K13" s="17" t="str">
        <f t="shared" ca="1" si="2"/>
        <v/>
      </c>
    </row>
    <row r="14" spans="1:12">
      <c r="A14" s="17" t="s">
        <v>203</v>
      </c>
      <c r="B14" s="17" t="s">
        <v>187</v>
      </c>
      <c r="C14" s="17" t="s">
        <v>100</v>
      </c>
      <c r="D14" s="17" t="str">
        <f>IF(C14="","",IFERROR(VLOOKUP(C14,Entity_Master!$A:$B,2,FALSE),""))</f>
        <v>Z Prime Ltd</v>
      </c>
      <c r="E14" s="17" t="s">
        <v>188</v>
      </c>
      <c r="F14" s="17" t="str">
        <f>IFERROR(INDEX(VAT_Regulatory_Matrix!$J:$J,MATCH($C14,VAT_Regulatory_Matrix!$A:$A,0)),"")</f>
        <v/>
      </c>
      <c r="G14" s="17" t="s">
        <v>189</v>
      </c>
      <c r="H14" s="17" t="s">
        <v>33</v>
      </c>
      <c r="I14" s="17" t="str">
        <f t="shared" ca="1" si="0"/>
        <v/>
      </c>
      <c r="J14" s="17" t="str">
        <f t="shared" ca="1" si="1"/>
        <v/>
      </c>
      <c r="K14" s="17" t="str">
        <f t="shared" ca="1" si="2"/>
        <v/>
      </c>
    </row>
    <row r="15" spans="1:12">
      <c r="A15" s="17" t="s">
        <v>204</v>
      </c>
      <c r="B15" s="17" t="s">
        <v>191</v>
      </c>
      <c r="C15" s="17" t="s">
        <v>100</v>
      </c>
      <c r="D15" s="17" t="str">
        <f>IF(C15="","",IFERROR(VLOOKUP(C15,Entity_Master!$A:$B,2,FALSE),""))</f>
        <v>Z Prime Ltd</v>
      </c>
      <c r="E15" s="17" t="s">
        <v>192</v>
      </c>
      <c r="F15" s="17" t="str">
        <f>IFERROR(INDEX(VAT_Regulatory_Matrix!$J:$J,MATCH($C15,VAT_Regulatory_Matrix!$A:$A,0)),"")</f>
        <v/>
      </c>
      <c r="G15" s="17" t="s">
        <v>189</v>
      </c>
      <c r="H15" s="17" t="s">
        <v>33</v>
      </c>
      <c r="I15" s="17" t="str">
        <f t="shared" ca="1" si="0"/>
        <v/>
      </c>
      <c r="J15" s="17" t="str">
        <f t="shared" ca="1" si="1"/>
        <v/>
      </c>
      <c r="K15" s="17" t="str">
        <f t="shared" ca="1" si="2"/>
        <v/>
      </c>
    </row>
    <row r="16" spans="1:12">
      <c r="A16" s="17" t="s">
        <v>205</v>
      </c>
      <c r="B16" s="17" t="s">
        <v>187</v>
      </c>
      <c r="C16" s="17" t="s">
        <v>102</v>
      </c>
      <c r="D16" s="17" t="str">
        <f>IF(C16="","",IFERROR(VLOOKUP(C16,Entity_Master!$A:$B,2,FALSE),""))</f>
        <v>Z Prime GmbH</v>
      </c>
      <c r="E16" s="17" t="s">
        <v>188</v>
      </c>
      <c r="F16" s="17" t="str">
        <f>IFERROR(INDEX(VAT_Regulatory_Matrix!$J:$J,MATCH($C16,VAT_Regulatory_Matrix!$A:$A,0)),"")</f>
        <v/>
      </c>
      <c r="G16" s="17" t="s">
        <v>189</v>
      </c>
      <c r="H16" s="17" t="s">
        <v>33</v>
      </c>
      <c r="I16" s="17" t="str">
        <f t="shared" ca="1" si="0"/>
        <v/>
      </c>
      <c r="J16" s="17" t="str">
        <f t="shared" ca="1" si="1"/>
        <v/>
      </c>
      <c r="K16" s="17" t="str">
        <f t="shared" ca="1" si="2"/>
        <v/>
      </c>
    </row>
    <row r="17" spans="1:11">
      <c r="A17" s="17" t="s">
        <v>206</v>
      </c>
      <c r="B17" s="17" t="s">
        <v>191</v>
      </c>
      <c r="C17" s="17" t="s">
        <v>102</v>
      </c>
      <c r="D17" s="17" t="str">
        <f>IF(C17="","",IFERROR(VLOOKUP(C17,Entity_Master!$A:$B,2,FALSE),""))</f>
        <v>Z Prime GmbH</v>
      </c>
      <c r="E17" s="17" t="s">
        <v>192</v>
      </c>
      <c r="F17" s="17" t="str">
        <f>IFERROR(INDEX(VAT_Regulatory_Matrix!$J:$J,MATCH($C17,VAT_Regulatory_Matrix!$A:$A,0)),"")</f>
        <v/>
      </c>
      <c r="G17" s="17" t="s">
        <v>189</v>
      </c>
      <c r="H17" s="17" t="s">
        <v>33</v>
      </c>
      <c r="I17" s="17" t="str">
        <f t="shared" ca="1" si="0"/>
        <v/>
      </c>
      <c r="J17" s="17" t="str">
        <f t="shared" ca="1" si="1"/>
        <v/>
      </c>
      <c r="K17" s="17" t="str">
        <f t="shared" ca="1" si="2"/>
        <v/>
      </c>
    </row>
    <row r="18" spans="1:11">
      <c r="A18" s="17" t="s">
        <v>207</v>
      </c>
      <c r="B18" s="17" t="s">
        <v>187</v>
      </c>
      <c r="C18" s="17" t="s">
        <v>104</v>
      </c>
      <c r="D18" s="17" t="str">
        <f>IF(C18="","",IFERROR(VLOOKUP(C18,Entity_Master!$A:$B,2,FALSE),""))</f>
        <v>Amertaat Italia SRL</v>
      </c>
      <c r="E18" s="17" t="s">
        <v>188</v>
      </c>
      <c r="F18" s="17" t="str">
        <f>IFERROR(INDEX(VAT_Regulatory_Matrix!$J:$J,MATCH($C18,VAT_Regulatory_Matrix!$A:$A,0)),"")</f>
        <v/>
      </c>
      <c r="G18" s="17" t="s">
        <v>189</v>
      </c>
      <c r="H18" s="17" t="s">
        <v>33</v>
      </c>
      <c r="I18" s="17" t="str">
        <f t="shared" ca="1" si="0"/>
        <v/>
      </c>
      <c r="J18" s="17" t="str">
        <f t="shared" ca="1" si="1"/>
        <v/>
      </c>
      <c r="K18" s="17" t="str">
        <f t="shared" ca="1" si="2"/>
        <v/>
      </c>
    </row>
    <row r="19" spans="1:11">
      <c r="A19" s="17" t="s">
        <v>208</v>
      </c>
      <c r="B19" s="17" t="s">
        <v>191</v>
      </c>
      <c r="C19" s="17" t="s">
        <v>104</v>
      </c>
      <c r="D19" s="17" t="str">
        <f>IF(C19="","",IFERROR(VLOOKUP(C19,Entity_Master!$A:$B,2,FALSE),""))</f>
        <v>Amertaat Italia SRL</v>
      </c>
      <c r="E19" s="17" t="s">
        <v>192</v>
      </c>
      <c r="F19" s="17" t="str">
        <f>IFERROR(INDEX(VAT_Regulatory_Matrix!$J:$J,MATCH($C19,VAT_Regulatory_Matrix!$A:$A,0)),"")</f>
        <v/>
      </c>
      <c r="G19" s="17" t="s">
        <v>189</v>
      </c>
      <c r="H19" s="17" t="s">
        <v>33</v>
      </c>
      <c r="I19" s="17" t="str">
        <f t="shared" ca="1" si="0"/>
        <v/>
      </c>
      <c r="J19" s="17" t="str">
        <f t="shared" ca="1" si="1"/>
        <v/>
      </c>
      <c r="K19" s="17" t="str">
        <f t="shared" ca="1" si="2"/>
        <v/>
      </c>
    </row>
    <row r="20" spans="1:11">
      <c r="A20" s="17" t="s">
        <v>209</v>
      </c>
      <c r="B20" s="17" t="s">
        <v>187</v>
      </c>
      <c r="C20" s="17" t="s">
        <v>106</v>
      </c>
      <c r="D20" s="17" t="str">
        <f>IF(C20="","",IFERROR(VLOOKUP(C20,Entity_Master!$A:$B,2,FALSE),""))</f>
        <v>eJuno FZCO</v>
      </c>
      <c r="E20" s="17" t="s">
        <v>188</v>
      </c>
      <c r="F20" s="17" t="str">
        <f>IFERROR(INDEX(VAT_Regulatory_Matrix!$J:$J,MATCH($C20,VAT_Regulatory_Matrix!$A:$A,0)),"")</f>
        <v/>
      </c>
      <c r="G20" s="17" t="s">
        <v>189</v>
      </c>
      <c r="H20" s="17" t="s">
        <v>33</v>
      </c>
      <c r="I20" s="17" t="str">
        <f t="shared" ca="1" si="0"/>
        <v/>
      </c>
      <c r="J20" s="17" t="str">
        <f t="shared" ca="1" si="1"/>
        <v/>
      </c>
      <c r="K20" s="17" t="str">
        <f t="shared" ca="1" si="2"/>
        <v/>
      </c>
    </row>
    <row r="21" spans="1:11">
      <c r="A21" s="17" t="s">
        <v>210</v>
      </c>
      <c r="B21" s="17" t="s">
        <v>191</v>
      </c>
      <c r="C21" s="17" t="s">
        <v>106</v>
      </c>
      <c r="D21" s="17" t="str">
        <f>IF(C21="","",IFERROR(VLOOKUP(C21,Entity_Master!$A:$B,2,FALSE),""))</f>
        <v>eJuno FZCO</v>
      </c>
      <c r="E21" s="17" t="s">
        <v>192</v>
      </c>
      <c r="F21" s="17" t="str">
        <f>IFERROR(INDEX(VAT_Regulatory_Matrix!$J:$J,MATCH($C21,VAT_Regulatory_Matrix!$A:$A,0)),"")</f>
        <v/>
      </c>
      <c r="G21" s="17" t="s">
        <v>189</v>
      </c>
      <c r="H21" s="17" t="s">
        <v>33</v>
      </c>
      <c r="I21" s="17" t="str">
        <f t="shared" ca="1" si="0"/>
        <v/>
      </c>
      <c r="J21" s="17" t="str">
        <f t="shared" ca="1" si="1"/>
        <v/>
      </c>
      <c r="K21" s="17" t="str">
        <f t="shared" ca="1" si="2"/>
        <v/>
      </c>
    </row>
    <row r="22" spans="1:11">
      <c r="D22" s="17" t="str">
        <f>IF(C22="","",IFERROR(VLOOKUP(C22,Entity_Master!$A:$B,2,FALSE),""))</f>
        <v/>
      </c>
      <c r="I22" s="17" t="str">
        <f t="shared" ca="1" si="0"/>
        <v/>
      </c>
      <c r="J22" s="17" t="str">
        <f t="shared" ca="1" si="1"/>
        <v/>
      </c>
      <c r="K22" s="17" t="str">
        <f t="shared" ca="1" si="2"/>
        <v/>
      </c>
    </row>
    <row r="23" spans="1:11">
      <c r="D23" s="17" t="str">
        <f>IF(C23="","",IFERROR(VLOOKUP(C23,Entity_Master!$A:$B,2,FALSE),""))</f>
        <v/>
      </c>
      <c r="I23" s="17" t="str">
        <f t="shared" ca="1" si="0"/>
        <v/>
      </c>
      <c r="J23" s="17" t="str">
        <f t="shared" ca="1" si="1"/>
        <v/>
      </c>
      <c r="K23" s="17" t="str">
        <f t="shared" ca="1" si="2"/>
        <v/>
      </c>
    </row>
    <row r="24" spans="1:11">
      <c r="D24" s="17" t="str">
        <f>IF(C24="","",IFERROR(VLOOKUP(C24,Entity_Master!$A:$B,2,FALSE),""))</f>
        <v/>
      </c>
      <c r="I24" s="17" t="str">
        <f t="shared" ca="1" si="0"/>
        <v/>
      </c>
      <c r="J24" s="17" t="str">
        <f t="shared" ca="1" si="1"/>
        <v/>
      </c>
      <c r="K24" s="17" t="str">
        <f t="shared" ca="1" si="2"/>
        <v/>
      </c>
    </row>
    <row r="25" spans="1:11">
      <c r="D25" s="17" t="str">
        <f>IF(C25="","",IFERROR(VLOOKUP(C25,Entity_Master!$A:$B,2,FALSE),""))</f>
        <v/>
      </c>
      <c r="I25" s="17" t="str">
        <f t="shared" ca="1" si="0"/>
        <v/>
      </c>
      <c r="J25" s="17" t="str">
        <f t="shared" ca="1" si="1"/>
        <v/>
      </c>
      <c r="K25" s="17" t="str">
        <f t="shared" ca="1" si="2"/>
        <v/>
      </c>
    </row>
    <row r="26" spans="1:11">
      <c r="D26" s="17" t="str">
        <f>IF(C26="","",IFERROR(VLOOKUP(C26,Entity_Master!$A:$B,2,FALSE),""))</f>
        <v/>
      </c>
      <c r="I26" s="17" t="str">
        <f t="shared" ca="1" si="0"/>
        <v/>
      </c>
      <c r="J26" s="17" t="str">
        <f t="shared" ca="1" si="1"/>
        <v/>
      </c>
      <c r="K26" s="17" t="str">
        <f t="shared" ca="1" si="2"/>
        <v/>
      </c>
    </row>
    <row r="27" spans="1:11">
      <c r="D27" s="17" t="str">
        <f>IF(C27="","",IFERROR(VLOOKUP(C27,Entity_Master!$A:$B,2,FALSE),""))</f>
        <v/>
      </c>
      <c r="I27" s="17" t="str">
        <f t="shared" ca="1" si="0"/>
        <v/>
      </c>
      <c r="J27" s="17" t="str">
        <f t="shared" ca="1" si="1"/>
        <v/>
      </c>
      <c r="K27" s="17" t="str">
        <f t="shared" ca="1" si="2"/>
        <v/>
      </c>
    </row>
    <row r="28" spans="1:11">
      <c r="D28" s="17" t="str">
        <f>IF(C28="","",IFERROR(VLOOKUP(C28,Entity_Master!$A:$B,2,FALSE),""))</f>
        <v/>
      </c>
      <c r="I28" s="17" t="str">
        <f t="shared" ca="1" si="0"/>
        <v/>
      </c>
      <c r="J28" s="17" t="str">
        <f t="shared" ca="1" si="1"/>
        <v/>
      </c>
      <c r="K28" s="17" t="str">
        <f t="shared" ca="1" si="2"/>
        <v/>
      </c>
    </row>
    <row r="29" spans="1:11">
      <c r="D29" s="17" t="str">
        <f>IF(C29="","",IFERROR(VLOOKUP(C29,Entity_Master!$A:$B,2,FALSE),""))</f>
        <v/>
      </c>
      <c r="I29" s="17" t="str">
        <f t="shared" ca="1" si="0"/>
        <v/>
      </c>
      <c r="J29" s="17" t="str">
        <f t="shared" ca="1" si="1"/>
        <v/>
      </c>
      <c r="K29" s="17" t="str">
        <f t="shared" ca="1" si="2"/>
        <v/>
      </c>
    </row>
    <row r="30" spans="1:11">
      <c r="D30" s="17" t="str">
        <f>IF(C30="","",IFERROR(VLOOKUP(C30,Entity_Master!$A:$B,2,FALSE),""))</f>
        <v/>
      </c>
      <c r="I30" s="17" t="str">
        <f t="shared" ca="1" si="0"/>
        <v/>
      </c>
      <c r="J30" s="17" t="str">
        <f t="shared" ca="1" si="1"/>
        <v/>
      </c>
      <c r="K30" s="17" t="str">
        <f t="shared" ca="1" si="2"/>
        <v/>
      </c>
    </row>
    <row r="31" spans="1:11">
      <c r="D31" s="17" t="str">
        <f>IF(C31="","",IFERROR(VLOOKUP(C31,Entity_Master!$A:$B,2,FALSE),""))</f>
        <v/>
      </c>
      <c r="I31" s="17" t="str">
        <f t="shared" ca="1" si="0"/>
        <v/>
      </c>
      <c r="J31" s="17" t="str">
        <f t="shared" ca="1" si="1"/>
        <v/>
      </c>
      <c r="K31" s="17" t="str">
        <f t="shared" ca="1" si="2"/>
        <v/>
      </c>
    </row>
    <row r="32" spans="1:11">
      <c r="D32" s="17" t="str">
        <f>IF(C32="","",IFERROR(VLOOKUP(C32,Entity_Master!$A:$B,2,FALSE),""))</f>
        <v/>
      </c>
      <c r="I32" s="17" t="str">
        <f t="shared" ca="1" si="0"/>
        <v/>
      </c>
      <c r="J32" s="17" t="str">
        <f t="shared" ca="1" si="1"/>
        <v/>
      </c>
      <c r="K32" s="17" t="str">
        <f t="shared" ca="1" si="2"/>
        <v/>
      </c>
    </row>
    <row r="33" spans="4:11">
      <c r="D33" s="17" t="str">
        <f>IF(C33="","",IFERROR(VLOOKUP(C33,Entity_Master!$A:$B,2,FALSE),""))</f>
        <v/>
      </c>
      <c r="I33" s="17" t="str">
        <f t="shared" ca="1" si="0"/>
        <v/>
      </c>
      <c r="J33" s="17" t="str">
        <f t="shared" ca="1" si="1"/>
        <v/>
      </c>
      <c r="K33" s="17" t="str">
        <f t="shared" ca="1" si="2"/>
        <v/>
      </c>
    </row>
    <row r="34" spans="4:11">
      <c r="D34" s="17" t="str">
        <f>IF(C34="","",IFERROR(VLOOKUP(C34,Entity_Master!$A:$B,2,FALSE),""))</f>
        <v/>
      </c>
      <c r="I34" s="17" t="str">
        <f t="shared" ca="1" si="0"/>
        <v/>
      </c>
      <c r="J34" s="17" t="str">
        <f t="shared" ca="1" si="1"/>
        <v/>
      </c>
      <c r="K34" s="17" t="str">
        <f t="shared" ca="1" si="2"/>
        <v/>
      </c>
    </row>
    <row r="35" spans="4:11">
      <c r="D35" s="17" t="str">
        <f>IF(C35="","",IFERROR(VLOOKUP(C35,Entity_Master!$A:$B,2,FALSE),""))</f>
        <v/>
      </c>
      <c r="I35" s="17" t="str">
        <f t="shared" ca="1" si="0"/>
        <v/>
      </c>
      <c r="J35" s="17" t="str">
        <f t="shared" ca="1" si="1"/>
        <v/>
      </c>
      <c r="K35" s="17" t="str">
        <f t="shared" ca="1" si="2"/>
        <v/>
      </c>
    </row>
    <row r="36" spans="4:11">
      <c r="D36" s="17" t="str">
        <f>IF(C36="","",IFERROR(VLOOKUP(C36,Entity_Master!$A:$B,2,FALSE),""))</f>
        <v/>
      </c>
      <c r="I36" s="17" t="str">
        <f t="shared" ca="1" si="0"/>
        <v/>
      </c>
      <c r="J36" s="17" t="str">
        <f t="shared" ca="1" si="1"/>
        <v/>
      </c>
      <c r="K36" s="17" t="str">
        <f t="shared" ca="1" si="2"/>
        <v/>
      </c>
    </row>
    <row r="37" spans="4:11">
      <c r="D37" s="17" t="str">
        <f>IF(C37="","",IFERROR(VLOOKUP(C37,Entity_Master!$A:$B,2,FALSE),""))</f>
        <v/>
      </c>
      <c r="I37" s="17" t="str">
        <f t="shared" ca="1" si="0"/>
        <v/>
      </c>
      <c r="J37" s="17" t="str">
        <f t="shared" ca="1" si="1"/>
        <v/>
      </c>
      <c r="K37" s="17" t="str">
        <f t="shared" ca="1" si="2"/>
        <v/>
      </c>
    </row>
    <row r="38" spans="4:11">
      <c r="D38" s="17" t="str">
        <f>IF(C38="","",IFERROR(VLOOKUP(C38,Entity_Master!$A:$B,2,FALSE),""))</f>
        <v/>
      </c>
      <c r="I38" s="17" t="str">
        <f t="shared" ca="1" si="0"/>
        <v/>
      </c>
      <c r="J38" s="17" t="str">
        <f t="shared" ca="1" si="1"/>
        <v/>
      </c>
      <c r="K38" s="17" t="str">
        <f t="shared" ca="1" si="2"/>
        <v/>
      </c>
    </row>
    <row r="39" spans="4:11">
      <c r="D39" s="17" t="str">
        <f>IF(C39="","",IFERROR(VLOOKUP(C39,Entity_Master!$A:$B,2,FALSE),""))</f>
        <v/>
      </c>
      <c r="I39" s="17" t="str">
        <f t="shared" ca="1" si="0"/>
        <v/>
      </c>
      <c r="J39" s="17" t="str">
        <f t="shared" ca="1" si="1"/>
        <v/>
      </c>
      <c r="K39" s="17" t="str">
        <f t="shared" ca="1" si="2"/>
        <v/>
      </c>
    </row>
    <row r="40" spans="4:11">
      <c r="D40" s="17" t="str">
        <f>IF(C40="","",IFERROR(VLOOKUP(C40,Entity_Master!$A:$B,2,FALSE),""))</f>
        <v/>
      </c>
      <c r="I40" s="17" t="str">
        <f t="shared" ca="1" si="0"/>
        <v/>
      </c>
      <c r="J40" s="17" t="str">
        <f t="shared" ca="1" si="1"/>
        <v/>
      </c>
      <c r="K40" s="17" t="str">
        <f t="shared" ca="1" si="2"/>
        <v/>
      </c>
    </row>
    <row r="41" spans="4:11">
      <c r="D41" s="17" t="str">
        <f>IF(C41="","",IFERROR(VLOOKUP(C41,Entity_Master!$A:$B,2,FALSE),""))</f>
        <v/>
      </c>
      <c r="I41" s="17" t="str">
        <f t="shared" ca="1" si="0"/>
        <v/>
      </c>
      <c r="J41" s="17" t="str">
        <f t="shared" ca="1" si="1"/>
        <v/>
      </c>
      <c r="K41" s="17" t="str">
        <f t="shared" ca="1" si="2"/>
        <v/>
      </c>
    </row>
    <row r="42" spans="4:11">
      <c r="D42" s="17" t="str">
        <f>IF(C42="","",IFERROR(VLOOKUP(C42,Entity_Master!$A:$B,2,FALSE),""))</f>
        <v/>
      </c>
      <c r="I42" s="17" t="str">
        <f t="shared" ca="1" si="0"/>
        <v/>
      </c>
      <c r="J42" s="17" t="str">
        <f t="shared" ca="1" si="1"/>
        <v/>
      </c>
      <c r="K42" s="17" t="str">
        <f t="shared" ca="1" si="2"/>
        <v/>
      </c>
    </row>
    <row r="43" spans="4:11">
      <c r="D43" s="17" t="str">
        <f>IF(C43="","",IFERROR(VLOOKUP(C43,Entity_Master!$A:$B,2,FALSE),""))</f>
        <v/>
      </c>
      <c r="I43" s="17" t="str">
        <f t="shared" ca="1" si="0"/>
        <v/>
      </c>
      <c r="J43" s="17" t="str">
        <f t="shared" ca="1" si="1"/>
        <v/>
      </c>
      <c r="K43" s="17" t="str">
        <f t="shared" ca="1" si="2"/>
        <v/>
      </c>
    </row>
    <row r="44" spans="4:11">
      <c r="D44" s="17" t="str">
        <f>IF(C44="","",IFERROR(VLOOKUP(C44,Entity_Master!$A:$B,2,FALSE),""))</f>
        <v/>
      </c>
      <c r="I44" s="17" t="str">
        <f t="shared" ca="1" si="0"/>
        <v/>
      </c>
      <c r="J44" s="17" t="str">
        <f t="shared" ca="1" si="1"/>
        <v/>
      </c>
      <c r="K44" s="17" t="str">
        <f t="shared" ca="1" si="2"/>
        <v/>
      </c>
    </row>
    <row r="45" spans="4:11">
      <c r="D45" s="17" t="str">
        <f>IF(C45="","",IFERROR(VLOOKUP(C45,Entity_Master!$A:$B,2,FALSE),""))</f>
        <v/>
      </c>
      <c r="I45" s="17" t="str">
        <f t="shared" ca="1" si="0"/>
        <v/>
      </c>
      <c r="J45" s="17" t="str">
        <f t="shared" ca="1" si="1"/>
        <v/>
      </c>
      <c r="K45" s="17" t="str">
        <f t="shared" ca="1" si="2"/>
        <v/>
      </c>
    </row>
    <row r="46" spans="4:11">
      <c r="D46" s="17" t="str">
        <f>IF(C46="","",IFERROR(VLOOKUP(C46,Entity_Master!$A:$B,2,FALSE),""))</f>
        <v/>
      </c>
      <c r="I46" s="17" t="str">
        <f t="shared" ca="1" si="0"/>
        <v/>
      </c>
      <c r="J46" s="17" t="str">
        <f t="shared" ca="1" si="1"/>
        <v/>
      </c>
      <c r="K46" s="17" t="str">
        <f t="shared" ca="1" si="2"/>
        <v/>
      </c>
    </row>
    <row r="47" spans="4:11">
      <c r="D47" s="17" t="str">
        <f>IF(C47="","",IFERROR(VLOOKUP(C47,Entity_Master!$A:$B,2,FALSE),""))</f>
        <v/>
      </c>
      <c r="I47" s="17" t="str">
        <f t="shared" ca="1" si="0"/>
        <v/>
      </c>
      <c r="J47" s="17" t="str">
        <f t="shared" ca="1" si="1"/>
        <v/>
      </c>
      <c r="K47" s="17" t="str">
        <f t="shared" ca="1" si="2"/>
        <v/>
      </c>
    </row>
    <row r="48" spans="4:11">
      <c r="D48" s="17" t="str">
        <f>IF(C48="","",IFERROR(VLOOKUP(C48,Entity_Master!$A:$B,2,FALSE),""))</f>
        <v/>
      </c>
      <c r="I48" s="17" t="str">
        <f t="shared" ca="1" si="0"/>
        <v/>
      </c>
      <c r="J48" s="17" t="str">
        <f t="shared" ca="1" si="1"/>
        <v/>
      </c>
      <c r="K48" s="17" t="str">
        <f t="shared" ca="1" si="2"/>
        <v/>
      </c>
    </row>
    <row r="49" spans="4:11">
      <c r="D49" s="17" t="str">
        <f>IF(C49="","",IFERROR(VLOOKUP(C49,Entity_Master!$A:$B,2,FALSE),""))</f>
        <v/>
      </c>
      <c r="I49" s="17" t="str">
        <f t="shared" ca="1" si="0"/>
        <v/>
      </c>
      <c r="J49" s="17" t="str">
        <f t="shared" ca="1" si="1"/>
        <v/>
      </c>
      <c r="K49" s="17" t="str">
        <f t="shared" ca="1" si="2"/>
        <v/>
      </c>
    </row>
    <row r="50" spans="4:11">
      <c r="D50" s="17" t="str">
        <f>IF(C50="","",IFERROR(VLOOKUP(C50,Entity_Master!$A:$B,2,FALSE),""))</f>
        <v/>
      </c>
      <c r="I50" s="17" t="str">
        <f t="shared" ca="1" si="0"/>
        <v/>
      </c>
      <c r="J50" s="17" t="str">
        <f t="shared" ca="1" si="1"/>
        <v/>
      </c>
      <c r="K50" s="17" t="str">
        <f t="shared" ca="1" si="2"/>
        <v/>
      </c>
    </row>
    <row r="51" spans="4:11">
      <c r="D51" s="17" t="str">
        <f>IF(C51="","",IFERROR(VLOOKUP(C51,Entity_Master!$A:$B,2,FALSE),""))</f>
        <v/>
      </c>
      <c r="I51" s="17" t="str">
        <f t="shared" ca="1" si="0"/>
        <v/>
      </c>
      <c r="J51" s="17" t="str">
        <f t="shared" ca="1" si="1"/>
        <v/>
      </c>
      <c r="K51" s="17" t="str">
        <f t="shared" ca="1" si="2"/>
        <v/>
      </c>
    </row>
    <row r="52" spans="4:11">
      <c r="D52" s="17" t="str">
        <f>IF(C52="","",IFERROR(VLOOKUP(C52,Entity_Master!$A:$B,2,FALSE),""))</f>
        <v/>
      </c>
      <c r="I52" s="17" t="str">
        <f t="shared" ca="1" si="0"/>
        <v/>
      </c>
      <c r="J52" s="17" t="str">
        <f t="shared" ca="1" si="1"/>
        <v/>
      </c>
      <c r="K52" s="17" t="str">
        <f t="shared" ca="1" si="2"/>
        <v/>
      </c>
    </row>
    <row r="53" spans="4:11">
      <c r="D53" s="17" t="str">
        <f>IF(C53="","",IFERROR(VLOOKUP(C53,Entity_Master!$A:$B,2,FALSE),""))</f>
        <v/>
      </c>
      <c r="I53" s="17" t="str">
        <f t="shared" ca="1" si="0"/>
        <v/>
      </c>
      <c r="J53" s="17" t="str">
        <f t="shared" ca="1" si="1"/>
        <v/>
      </c>
      <c r="K53" s="17" t="str">
        <f t="shared" ca="1" si="2"/>
        <v/>
      </c>
    </row>
    <row r="54" spans="4:11">
      <c r="D54" s="17" t="str">
        <f>IF(C54="","",IFERROR(VLOOKUP(C54,Entity_Master!$A:$B,2,FALSE),""))</f>
        <v/>
      </c>
      <c r="I54" s="17" t="str">
        <f t="shared" ca="1" si="0"/>
        <v/>
      </c>
      <c r="J54" s="17" t="str">
        <f t="shared" ca="1" si="1"/>
        <v/>
      </c>
      <c r="K54" s="17" t="str">
        <f t="shared" ca="1" si="2"/>
        <v/>
      </c>
    </row>
    <row r="55" spans="4:11">
      <c r="D55" s="17" t="str">
        <f>IF(C55="","",IFERROR(VLOOKUP(C55,Entity_Master!$A:$B,2,FALSE),""))</f>
        <v/>
      </c>
      <c r="I55" s="17" t="str">
        <f t="shared" ca="1" si="0"/>
        <v/>
      </c>
      <c r="J55" s="17" t="str">
        <f t="shared" ca="1" si="1"/>
        <v/>
      </c>
      <c r="K55" s="17" t="str">
        <f t="shared" ca="1" si="2"/>
        <v/>
      </c>
    </row>
    <row r="56" spans="4:11">
      <c r="D56" s="17" t="str">
        <f>IF(C56="","",IFERROR(VLOOKUP(C56,Entity_Master!$A:$B,2,FALSE),""))</f>
        <v/>
      </c>
      <c r="I56" s="17" t="str">
        <f t="shared" ca="1" si="0"/>
        <v/>
      </c>
      <c r="J56" s="17" t="str">
        <f t="shared" ca="1" si="1"/>
        <v/>
      </c>
      <c r="K56" s="17" t="str">
        <f t="shared" ca="1" si="2"/>
        <v/>
      </c>
    </row>
    <row r="57" spans="4:11">
      <c r="D57" s="17" t="str">
        <f>IF(C57="","",IFERROR(VLOOKUP(C57,Entity_Master!$A:$B,2,FALSE),""))</f>
        <v/>
      </c>
      <c r="I57" s="17" t="str">
        <f t="shared" ca="1" si="0"/>
        <v/>
      </c>
      <c r="J57" s="17" t="str">
        <f t="shared" ca="1" si="1"/>
        <v/>
      </c>
      <c r="K57" s="17" t="str">
        <f t="shared" ca="1" si="2"/>
        <v/>
      </c>
    </row>
    <row r="58" spans="4:11">
      <c r="D58" s="17" t="str">
        <f>IF(C58="","",IFERROR(VLOOKUP(C58,Entity_Master!$A:$B,2,FALSE),""))</f>
        <v/>
      </c>
      <c r="I58" s="17" t="str">
        <f t="shared" ca="1" si="0"/>
        <v/>
      </c>
      <c r="J58" s="17" t="str">
        <f t="shared" ca="1" si="1"/>
        <v/>
      </c>
      <c r="K58" s="17" t="str">
        <f t="shared" ca="1" si="2"/>
        <v/>
      </c>
    </row>
    <row r="59" spans="4:11">
      <c r="D59" s="17" t="str">
        <f>IF(C59="","",IFERROR(VLOOKUP(C59,Entity_Master!$A:$B,2,FALSE),""))</f>
        <v/>
      </c>
      <c r="I59" s="17" t="str">
        <f t="shared" ca="1" si="0"/>
        <v/>
      </c>
      <c r="J59" s="17" t="str">
        <f t="shared" ca="1" si="1"/>
        <v/>
      </c>
      <c r="K59" s="17" t="str">
        <f t="shared" ca="1" si="2"/>
        <v/>
      </c>
    </row>
    <row r="60" spans="4:11">
      <c r="D60" s="17" t="str">
        <f>IF(C60="","",IFERROR(VLOOKUP(C60,Entity_Master!$A:$B,2,FALSE),""))</f>
        <v/>
      </c>
      <c r="I60" s="17" t="str">
        <f t="shared" ca="1" si="0"/>
        <v/>
      </c>
      <c r="J60" s="17" t="str">
        <f t="shared" ca="1" si="1"/>
        <v/>
      </c>
      <c r="K60" s="17" t="str">
        <f t="shared" ca="1" si="2"/>
        <v/>
      </c>
    </row>
    <row r="61" spans="4:11">
      <c r="D61" s="17" t="str">
        <f>IF(C61="","",IFERROR(VLOOKUP(C61,Entity_Master!$A:$B,2,FALSE),""))</f>
        <v/>
      </c>
      <c r="I61" s="17" t="str">
        <f t="shared" ca="1" si="0"/>
        <v/>
      </c>
      <c r="J61" s="17" t="str">
        <f t="shared" ca="1" si="1"/>
        <v/>
      </c>
      <c r="K61" s="17" t="str">
        <f t="shared" ca="1" si="2"/>
        <v/>
      </c>
    </row>
    <row r="62" spans="4:11">
      <c r="D62" s="17" t="str">
        <f>IF(C62="","",IFERROR(VLOOKUP(C62,Entity_Master!$A:$B,2,FALSE),""))</f>
        <v/>
      </c>
      <c r="I62" s="17" t="str">
        <f t="shared" ca="1" si="0"/>
        <v/>
      </c>
      <c r="J62" s="17" t="str">
        <f t="shared" ca="1" si="1"/>
        <v/>
      </c>
      <c r="K62" s="17" t="str">
        <f t="shared" ca="1" si="2"/>
        <v/>
      </c>
    </row>
    <row r="63" spans="4:11">
      <c r="D63" s="17" t="str">
        <f>IF(C63="","",IFERROR(VLOOKUP(C63,Entity_Master!$A:$B,2,FALSE),""))</f>
        <v/>
      </c>
      <c r="I63" s="17" t="str">
        <f t="shared" ca="1" si="0"/>
        <v/>
      </c>
      <c r="J63" s="17" t="str">
        <f t="shared" ca="1" si="1"/>
        <v/>
      </c>
      <c r="K63" s="17" t="str">
        <f t="shared" ca="1" si="2"/>
        <v/>
      </c>
    </row>
    <row r="64" spans="4:11">
      <c r="D64" s="17" t="str">
        <f>IF(C64="","",IFERROR(VLOOKUP(C64,Entity_Master!$A:$B,2,FALSE),""))</f>
        <v/>
      </c>
      <c r="I64" s="17" t="str">
        <f t="shared" ca="1" si="0"/>
        <v/>
      </c>
      <c r="J64" s="17" t="str">
        <f t="shared" ca="1" si="1"/>
        <v/>
      </c>
      <c r="K64" s="17" t="str">
        <f t="shared" ca="1" si="2"/>
        <v/>
      </c>
    </row>
    <row r="65" spans="4:11">
      <c r="D65" s="17" t="str">
        <f>IF(C65="","",IFERROR(VLOOKUP(C65,Entity_Master!$A:$B,2,FALSE),""))</f>
        <v/>
      </c>
      <c r="I65" s="17" t="str">
        <f t="shared" ca="1" si="0"/>
        <v/>
      </c>
      <c r="J65" s="17" t="str">
        <f t="shared" ca="1" si="1"/>
        <v/>
      </c>
      <c r="K65" s="17" t="str">
        <f t="shared" ca="1" si="2"/>
        <v/>
      </c>
    </row>
    <row r="66" spans="4:11">
      <c r="D66" s="17" t="str">
        <f>IF(C66="","",IFERROR(VLOOKUP(C66,Entity_Master!$A:$B,2,FALSE),""))</f>
        <v/>
      </c>
      <c r="I66" s="17" t="str">
        <f t="shared" ref="I66:I100" ca="1" si="3">IF(F66="","",F66-TODAY())</f>
        <v/>
      </c>
      <c r="J66" s="17" t="str">
        <f t="shared" ref="J66:J100" ca="1" si="4">IF(I66="","",IF(I66&lt;0,"Red",IF(I66&lt;=30,"Amber","Green")))</f>
        <v/>
      </c>
      <c r="K66" s="17" t="str">
        <f t="shared" ref="K66:K100" ca="1" si="5">IF(J66="Red","OVERDUE",IF(J66="Amber","DUE SOON",""))</f>
        <v/>
      </c>
    </row>
    <row r="67" spans="4:11">
      <c r="D67" s="17" t="str">
        <f>IF(C67="","",IFERROR(VLOOKUP(C67,Entity_Master!$A:$B,2,FALSE),""))</f>
        <v/>
      </c>
      <c r="I67" s="17" t="str">
        <f t="shared" ca="1" si="3"/>
        <v/>
      </c>
      <c r="J67" s="17" t="str">
        <f t="shared" ca="1" si="4"/>
        <v/>
      </c>
      <c r="K67" s="17" t="str">
        <f t="shared" ca="1" si="5"/>
        <v/>
      </c>
    </row>
    <row r="68" spans="4:11">
      <c r="D68" s="17" t="str">
        <f>IF(C68="","",IFERROR(VLOOKUP(C68,Entity_Master!$A:$B,2,FALSE),""))</f>
        <v/>
      </c>
      <c r="I68" s="17" t="str">
        <f t="shared" ca="1" si="3"/>
        <v/>
      </c>
      <c r="J68" s="17" t="str">
        <f t="shared" ca="1" si="4"/>
        <v/>
      </c>
      <c r="K68" s="17" t="str">
        <f t="shared" ca="1" si="5"/>
        <v/>
      </c>
    </row>
    <row r="69" spans="4:11">
      <c r="D69" s="17" t="str">
        <f>IF(C69="","",IFERROR(VLOOKUP(C69,Entity_Master!$A:$B,2,FALSE),""))</f>
        <v/>
      </c>
      <c r="I69" s="17" t="str">
        <f t="shared" ca="1" si="3"/>
        <v/>
      </c>
      <c r="J69" s="17" t="str">
        <f t="shared" ca="1" si="4"/>
        <v/>
      </c>
      <c r="K69" s="17" t="str">
        <f t="shared" ca="1" si="5"/>
        <v/>
      </c>
    </row>
    <row r="70" spans="4:11">
      <c r="D70" s="17" t="str">
        <f>IF(C70="","",IFERROR(VLOOKUP(C70,Entity_Master!$A:$B,2,FALSE),""))</f>
        <v/>
      </c>
      <c r="I70" s="17" t="str">
        <f t="shared" ca="1" si="3"/>
        <v/>
      </c>
      <c r="J70" s="17" t="str">
        <f t="shared" ca="1" si="4"/>
        <v/>
      </c>
      <c r="K70" s="17" t="str">
        <f t="shared" ca="1" si="5"/>
        <v/>
      </c>
    </row>
    <row r="71" spans="4:11">
      <c r="D71" s="17" t="str">
        <f>IF(C71="","",IFERROR(VLOOKUP(C71,Entity_Master!$A:$B,2,FALSE),""))</f>
        <v/>
      </c>
      <c r="I71" s="17" t="str">
        <f t="shared" ca="1" si="3"/>
        <v/>
      </c>
      <c r="J71" s="17" t="str">
        <f t="shared" ca="1" si="4"/>
        <v/>
      </c>
      <c r="K71" s="17" t="str">
        <f t="shared" ca="1" si="5"/>
        <v/>
      </c>
    </row>
    <row r="72" spans="4:11">
      <c r="D72" s="17" t="str">
        <f>IF(C72="","",IFERROR(VLOOKUP(C72,Entity_Master!$A:$B,2,FALSE),""))</f>
        <v/>
      </c>
      <c r="I72" s="17" t="str">
        <f t="shared" ca="1" si="3"/>
        <v/>
      </c>
      <c r="J72" s="17" t="str">
        <f t="shared" ca="1" si="4"/>
        <v/>
      </c>
      <c r="K72" s="17" t="str">
        <f t="shared" ca="1" si="5"/>
        <v/>
      </c>
    </row>
    <row r="73" spans="4:11">
      <c r="D73" s="17" t="str">
        <f>IF(C73="","",IFERROR(VLOOKUP(C73,Entity_Master!$A:$B,2,FALSE),""))</f>
        <v/>
      </c>
      <c r="I73" s="17" t="str">
        <f t="shared" ca="1" si="3"/>
        <v/>
      </c>
      <c r="J73" s="17" t="str">
        <f t="shared" ca="1" si="4"/>
        <v/>
      </c>
      <c r="K73" s="17" t="str">
        <f t="shared" ca="1" si="5"/>
        <v/>
      </c>
    </row>
    <row r="74" spans="4:11">
      <c r="D74" s="17" t="str">
        <f>IF(C74="","",IFERROR(VLOOKUP(C74,Entity_Master!$A:$B,2,FALSE),""))</f>
        <v/>
      </c>
      <c r="I74" s="17" t="str">
        <f t="shared" ca="1" si="3"/>
        <v/>
      </c>
      <c r="J74" s="17" t="str">
        <f t="shared" ca="1" si="4"/>
        <v/>
      </c>
      <c r="K74" s="17" t="str">
        <f t="shared" ca="1" si="5"/>
        <v/>
      </c>
    </row>
    <row r="75" spans="4:11">
      <c r="D75" s="17" t="str">
        <f>IF(C75="","",IFERROR(VLOOKUP(C75,Entity_Master!$A:$B,2,FALSE),""))</f>
        <v/>
      </c>
      <c r="I75" s="17" t="str">
        <f t="shared" ca="1" si="3"/>
        <v/>
      </c>
      <c r="J75" s="17" t="str">
        <f t="shared" ca="1" si="4"/>
        <v/>
      </c>
      <c r="K75" s="17" t="str">
        <f t="shared" ca="1" si="5"/>
        <v/>
      </c>
    </row>
    <row r="76" spans="4:11">
      <c r="D76" s="17" t="str">
        <f>IF(C76="","",IFERROR(VLOOKUP(C76,Entity_Master!$A:$B,2,FALSE),""))</f>
        <v/>
      </c>
      <c r="I76" s="17" t="str">
        <f t="shared" ca="1" si="3"/>
        <v/>
      </c>
      <c r="J76" s="17" t="str">
        <f t="shared" ca="1" si="4"/>
        <v/>
      </c>
      <c r="K76" s="17" t="str">
        <f t="shared" ca="1" si="5"/>
        <v/>
      </c>
    </row>
    <row r="77" spans="4:11">
      <c r="D77" s="17" t="str">
        <f>IF(C77="","",IFERROR(VLOOKUP(C77,Entity_Master!$A:$B,2,FALSE),""))</f>
        <v/>
      </c>
      <c r="I77" s="17" t="str">
        <f t="shared" ca="1" si="3"/>
        <v/>
      </c>
      <c r="J77" s="17" t="str">
        <f t="shared" ca="1" si="4"/>
        <v/>
      </c>
      <c r="K77" s="17" t="str">
        <f t="shared" ca="1" si="5"/>
        <v/>
      </c>
    </row>
    <row r="78" spans="4:11">
      <c r="D78" s="17" t="str">
        <f>IF(C78="","",IFERROR(VLOOKUP(C78,Entity_Master!$A:$B,2,FALSE),""))</f>
        <v/>
      </c>
      <c r="I78" s="17" t="str">
        <f t="shared" ca="1" si="3"/>
        <v/>
      </c>
      <c r="J78" s="17" t="str">
        <f t="shared" ca="1" si="4"/>
        <v/>
      </c>
      <c r="K78" s="17" t="str">
        <f t="shared" ca="1" si="5"/>
        <v/>
      </c>
    </row>
    <row r="79" spans="4:11">
      <c r="D79" s="17" t="str">
        <f>IF(C79="","",IFERROR(VLOOKUP(C79,Entity_Master!$A:$B,2,FALSE),""))</f>
        <v/>
      </c>
      <c r="I79" s="17" t="str">
        <f t="shared" ca="1" si="3"/>
        <v/>
      </c>
      <c r="J79" s="17" t="str">
        <f t="shared" ca="1" si="4"/>
        <v/>
      </c>
      <c r="K79" s="17" t="str">
        <f t="shared" ca="1" si="5"/>
        <v/>
      </c>
    </row>
    <row r="80" spans="4:11">
      <c r="D80" s="17" t="str">
        <f>IF(C80="","",IFERROR(VLOOKUP(C80,Entity_Master!$A:$B,2,FALSE),""))</f>
        <v/>
      </c>
      <c r="I80" s="17" t="str">
        <f t="shared" ca="1" si="3"/>
        <v/>
      </c>
      <c r="J80" s="17" t="str">
        <f t="shared" ca="1" si="4"/>
        <v/>
      </c>
      <c r="K80" s="17" t="str">
        <f t="shared" ca="1" si="5"/>
        <v/>
      </c>
    </row>
    <row r="81" spans="4:11">
      <c r="D81" s="17" t="str">
        <f>IF(C81="","",IFERROR(VLOOKUP(C81,Entity_Master!$A:$B,2,FALSE),""))</f>
        <v/>
      </c>
      <c r="I81" s="17" t="str">
        <f t="shared" ca="1" si="3"/>
        <v/>
      </c>
      <c r="J81" s="17" t="str">
        <f t="shared" ca="1" si="4"/>
        <v/>
      </c>
      <c r="K81" s="17" t="str">
        <f t="shared" ca="1" si="5"/>
        <v/>
      </c>
    </row>
    <row r="82" spans="4:11">
      <c r="D82" s="17" t="str">
        <f>IF(C82="","",IFERROR(VLOOKUP(C82,Entity_Master!$A:$B,2,FALSE),""))</f>
        <v/>
      </c>
      <c r="I82" s="17" t="str">
        <f t="shared" ca="1" si="3"/>
        <v/>
      </c>
      <c r="J82" s="17" t="str">
        <f t="shared" ca="1" si="4"/>
        <v/>
      </c>
      <c r="K82" s="17" t="str">
        <f t="shared" ca="1" si="5"/>
        <v/>
      </c>
    </row>
    <row r="83" spans="4:11">
      <c r="D83" s="17" t="str">
        <f>IF(C83="","",IFERROR(VLOOKUP(C83,Entity_Master!$A:$B,2,FALSE),""))</f>
        <v/>
      </c>
      <c r="I83" s="17" t="str">
        <f t="shared" ca="1" si="3"/>
        <v/>
      </c>
      <c r="J83" s="17" t="str">
        <f t="shared" ca="1" si="4"/>
        <v/>
      </c>
      <c r="K83" s="17" t="str">
        <f t="shared" ca="1" si="5"/>
        <v/>
      </c>
    </row>
    <row r="84" spans="4:11">
      <c r="D84" s="17" t="str">
        <f>IF(C84="","",IFERROR(VLOOKUP(C84,Entity_Master!$A:$B,2,FALSE),""))</f>
        <v/>
      </c>
      <c r="I84" s="17" t="str">
        <f t="shared" ca="1" si="3"/>
        <v/>
      </c>
      <c r="J84" s="17" t="str">
        <f t="shared" ca="1" si="4"/>
        <v/>
      </c>
      <c r="K84" s="17" t="str">
        <f t="shared" ca="1" si="5"/>
        <v/>
      </c>
    </row>
    <row r="85" spans="4:11">
      <c r="D85" s="17" t="str">
        <f>IF(C85="","",IFERROR(VLOOKUP(C85,Entity_Master!$A:$B,2,FALSE),""))</f>
        <v/>
      </c>
      <c r="I85" s="17" t="str">
        <f t="shared" ca="1" si="3"/>
        <v/>
      </c>
      <c r="J85" s="17" t="str">
        <f t="shared" ca="1" si="4"/>
        <v/>
      </c>
      <c r="K85" s="17" t="str">
        <f t="shared" ca="1" si="5"/>
        <v/>
      </c>
    </row>
    <row r="86" spans="4:11">
      <c r="D86" s="17" t="str">
        <f>IF(C86="","",IFERROR(VLOOKUP(C86,Entity_Master!$A:$B,2,FALSE),""))</f>
        <v/>
      </c>
      <c r="I86" s="17" t="str">
        <f t="shared" ca="1" si="3"/>
        <v/>
      </c>
      <c r="J86" s="17" t="str">
        <f t="shared" ca="1" si="4"/>
        <v/>
      </c>
      <c r="K86" s="17" t="str">
        <f t="shared" ca="1" si="5"/>
        <v/>
      </c>
    </row>
    <row r="87" spans="4:11">
      <c r="D87" s="17" t="str">
        <f>IF(C87="","",IFERROR(VLOOKUP(C87,Entity_Master!$A:$B,2,FALSE),""))</f>
        <v/>
      </c>
      <c r="I87" s="17" t="str">
        <f t="shared" ca="1" si="3"/>
        <v/>
      </c>
      <c r="J87" s="17" t="str">
        <f t="shared" ca="1" si="4"/>
        <v/>
      </c>
      <c r="K87" s="17" t="str">
        <f t="shared" ca="1" si="5"/>
        <v/>
      </c>
    </row>
    <row r="88" spans="4:11">
      <c r="D88" s="17" t="str">
        <f>IF(C88="","",IFERROR(VLOOKUP(C88,Entity_Master!$A:$B,2,FALSE),""))</f>
        <v/>
      </c>
      <c r="I88" s="17" t="str">
        <f t="shared" ca="1" si="3"/>
        <v/>
      </c>
      <c r="J88" s="17" t="str">
        <f t="shared" ca="1" si="4"/>
        <v/>
      </c>
      <c r="K88" s="17" t="str">
        <f t="shared" ca="1" si="5"/>
        <v/>
      </c>
    </row>
    <row r="89" spans="4:11">
      <c r="D89" s="17" t="str">
        <f>IF(C89="","",IFERROR(VLOOKUP(C89,Entity_Master!$A:$B,2,FALSE),""))</f>
        <v/>
      </c>
      <c r="I89" s="17" t="str">
        <f t="shared" ca="1" si="3"/>
        <v/>
      </c>
      <c r="J89" s="17" t="str">
        <f t="shared" ca="1" si="4"/>
        <v/>
      </c>
      <c r="K89" s="17" t="str">
        <f t="shared" ca="1" si="5"/>
        <v/>
      </c>
    </row>
    <row r="90" spans="4:11">
      <c r="D90" s="17" t="str">
        <f>IF(C90="","",IFERROR(VLOOKUP(C90,Entity_Master!$A:$B,2,FALSE),""))</f>
        <v/>
      </c>
      <c r="I90" s="17" t="str">
        <f t="shared" ca="1" si="3"/>
        <v/>
      </c>
      <c r="J90" s="17" t="str">
        <f t="shared" ca="1" si="4"/>
        <v/>
      </c>
      <c r="K90" s="17" t="str">
        <f t="shared" ca="1" si="5"/>
        <v/>
      </c>
    </row>
    <row r="91" spans="4:11">
      <c r="D91" s="17" t="str">
        <f>IF(C91="","",IFERROR(VLOOKUP(C91,Entity_Master!$A:$B,2,FALSE),""))</f>
        <v/>
      </c>
      <c r="I91" s="17" t="str">
        <f t="shared" ca="1" si="3"/>
        <v/>
      </c>
      <c r="J91" s="17" t="str">
        <f t="shared" ca="1" si="4"/>
        <v/>
      </c>
      <c r="K91" s="17" t="str">
        <f t="shared" ca="1" si="5"/>
        <v/>
      </c>
    </row>
    <row r="92" spans="4:11">
      <c r="D92" s="17" t="str">
        <f>IF(C92="","",IFERROR(VLOOKUP(C92,Entity_Master!$A:$B,2,FALSE),""))</f>
        <v/>
      </c>
      <c r="I92" s="17" t="str">
        <f t="shared" ca="1" si="3"/>
        <v/>
      </c>
      <c r="J92" s="17" t="str">
        <f t="shared" ca="1" si="4"/>
        <v/>
      </c>
      <c r="K92" s="17" t="str">
        <f t="shared" ca="1" si="5"/>
        <v/>
      </c>
    </row>
    <row r="93" spans="4:11">
      <c r="D93" s="17" t="str">
        <f>IF(C93="","",IFERROR(VLOOKUP(C93,Entity_Master!$A:$B,2,FALSE),""))</f>
        <v/>
      </c>
      <c r="I93" s="17" t="str">
        <f t="shared" ca="1" si="3"/>
        <v/>
      </c>
      <c r="J93" s="17" t="str">
        <f t="shared" ca="1" si="4"/>
        <v/>
      </c>
      <c r="K93" s="17" t="str">
        <f t="shared" ca="1" si="5"/>
        <v/>
      </c>
    </row>
    <row r="94" spans="4:11">
      <c r="D94" s="17" t="str">
        <f>IF(C94="","",IFERROR(VLOOKUP(C94,Entity_Master!$A:$B,2,FALSE),""))</f>
        <v/>
      </c>
      <c r="I94" s="17" t="str">
        <f t="shared" ca="1" si="3"/>
        <v/>
      </c>
      <c r="J94" s="17" t="str">
        <f t="shared" ca="1" si="4"/>
        <v/>
      </c>
      <c r="K94" s="17" t="str">
        <f t="shared" ca="1" si="5"/>
        <v/>
      </c>
    </row>
    <row r="95" spans="4:11">
      <c r="D95" s="17" t="str">
        <f>IF(C95="","",IFERROR(VLOOKUP(C95,Entity_Master!$A:$B,2,FALSE),""))</f>
        <v/>
      </c>
      <c r="I95" s="17" t="str">
        <f t="shared" ca="1" si="3"/>
        <v/>
      </c>
      <c r="J95" s="17" t="str">
        <f t="shared" ca="1" si="4"/>
        <v/>
      </c>
      <c r="K95" s="17" t="str">
        <f t="shared" ca="1" si="5"/>
        <v/>
      </c>
    </row>
    <row r="96" spans="4:11">
      <c r="D96" s="17" t="str">
        <f>IF(C96="","",IFERROR(VLOOKUP(C96,Entity_Master!$A:$B,2,FALSE),""))</f>
        <v/>
      </c>
      <c r="I96" s="17" t="str">
        <f t="shared" ca="1" si="3"/>
        <v/>
      </c>
      <c r="J96" s="17" t="str">
        <f t="shared" ca="1" si="4"/>
        <v/>
      </c>
      <c r="K96" s="17" t="str">
        <f t="shared" ca="1" si="5"/>
        <v/>
      </c>
    </row>
    <row r="97" spans="4:11">
      <c r="D97" s="17" t="str">
        <f>IF(C97="","",IFERROR(VLOOKUP(C97,Entity_Master!$A:$B,2,FALSE),""))</f>
        <v/>
      </c>
      <c r="I97" s="17" t="str">
        <f t="shared" ca="1" si="3"/>
        <v/>
      </c>
      <c r="J97" s="17" t="str">
        <f t="shared" ca="1" si="4"/>
        <v/>
      </c>
      <c r="K97" s="17" t="str">
        <f t="shared" ca="1" si="5"/>
        <v/>
      </c>
    </row>
    <row r="98" spans="4:11">
      <c r="D98" s="17" t="str">
        <f>IF(C98="","",IFERROR(VLOOKUP(C98,Entity_Master!$A:$B,2,FALSE),""))</f>
        <v/>
      </c>
      <c r="I98" s="17" t="str">
        <f t="shared" ca="1" si="3"/>
        <v/>
      </c>
      <c r="J98" s="17" t="str">
        <f t="shared" ca="1" si="4"/>
        <v/>
      </c>
      <c r="K98" s="17" t="str">
        <f t="shared" ca="1" si="5"/>
        <v/>
      </c>
    </row>
    <row r="99" spans="4:11">
      <c r="D99" s="17" t="str">
        <f>IF(C99="","",IFERROR(VLOOKUP(C99,Entity_Master!$A:$B,2,FALSE),""))</f>
        <v/>
      </c>
      <c r="I99" s="17" t="str">
        <f t="shared" ca="1" si="3"/>
        <v/>
      </c>
      <c r="J99" s="17" t="str">
        <f t="shared" ca="1" si="4"/>
        <v/>
      </c>
      <c r="K99" s="17" t="str">
        <f t="shared" ca="1" si="5"/>
        <v/>
      </c>
    </row>
    <row r="100" spans="4:11">
      <c r="D100" s="17" t="str">
        <f>IF(C100="","",IFERROR(VLOOKUP(C100,Entity_Master!$A:$B,2,FALSE),""))</f>
        <v/>
      </c>
      <c r="I100" s="17" t="str">
        <f t="shared" ca="1" si="3"/>
        <v/>
      </c>
      <c r="J100" s="17" t="str">
        <f t="shared" ca="1" si="4"/>
        <v/>
      </c>
      <c r="K100" s="17" t="str">
        <f t="shared" ca="1" si="5"/>
        <v/>
      </c>
    </row>
  </sheetData>
  <conditionalFormatting sqref="J2:J4841">
    <cfRule type="expression" dxfId="2" priority="1">
      <formula>$J2="Red"</formula>
    </cfRule>
    <cfRule type="expression" dxfId="1" priority="2">
      <formula>$J2="Amber"</formula>
    </cfRule>
    <cfRule type="expression" dxfId="0" priority="3">
      <formula>$J2="Green"</formula>
    </cfRule>
  </conditionalFormatting>
  <dataValidations count="2">
    <dataValidation type="list" allowBlank="1" sqref="B2:B4841" xr:uid="{00000000-0002-0000-1100-000000000000}">
      <formula1>"VAT Filing,Corporate Tax Filing,Audit,License Renewal,ESR Filing,TP Documentation,Other"</formula1>
    </dataValidation>
    <dataValidation type="list" allowBlank="1" sqref="H2:H4841" xr:uid="{00000000-0002-0000-1100-000001000000}">
      <formula1>Control_Status</formula1>
    </dataValidation>
  </dataValidation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K8"/>
  <sheetViews>
    <sheetView showGridLines="0" workbookViewId="0">
      <pane ySplit="1" topLeftCell="A2" activePane="bottomLeft" state="frozen"/>
      <selection sqref="A1:H1"/>
      <selection pane="bottomLeft" activeCell="B13" sqref="B13"/>
    </sheetView>
  </sheetViews>
  <sheetFormatPr defaultColWidth="8.81640625" defaultRowHeight="14.5"/>
  <cols>
    <col min="1" max="3" width="12" customWidth="1"/>
    <col min="4" max="4" width="30" customWidth="1"/>
    <col min="5" max="5" width="28" customWidth="1"/>
    <col min="6" max="6" width="3" customWidth="1"/>
    <col min="7" max="11" width="16" customWidth="1"/>
  </cols>
  <sheetData>
    <row r="1" spans="1:11" ht="34" customHeight="1">
      <c r="A1" s="49" t="s">
        <v>154</v>
      </c>
      <c r="B1" s="50"/>
      <c r="C1" s="50"/>
      <c r="D1" s="50"/>
      <c r="E1" s="50"/>
      <c r="F1" s="50"/>
      <c r="G1" s="50"/>
      <c r="H1" s="50"/>
      <c r="I1" s="50"/>
      <c r="J1" s="50"/>
      <c r="K1" s="51"/>
    </row>
    <row r="2" spans="1:11" ht="43.5">
      <c r="A2" t="s">
        <v>155</v>
      </c>
      <c r="B2" t="s">
        <v>2</v>
      </c>
      <c r="C2">
        <f>COUNTA(Entity_Master!$A$2:$A$5000)</f>
        <v>11</v>
      </c>
      <c r="E2" s="3" t="s">
        <v>15</v>
      </c>
      <c r="F2" s="3" t="s">
        <v>156</v>
      </c>
    </row>
    <row r="3" spans="1:11">
      <c r="A3" t="s">
        <v>155</v>
      </c>
      <c r="B3" t="s">
        <v>157</v>
      </c>
      <c r="C3">
        <f>COUNTIF(Entity_Master!$U$2:$U$5000,"Active")</f>
        <v>0</v>
      </c>
      <c r="E3" s="5" t="s">
        <v>25</v>
      </c>
      <c r="F3" s="5">
        <f>COUNTIF(Entity_Master!$J$2:$J$5000,"UAE")</f>
        <v>0</v>
      </c>
    </row>
    <row r="4" spans="1:11">
      <c r="A4" t="s">
        <v>158</v>
      </c>
      <c r="B4" t="s">
        <v>3</v>
      </c>
      <c r="C4">
        <f>COUNTIF(VAT_Regulatory_Matrix!$L$2:$L$4050,"Overdue")</f>
        <v>0</v>
      </c>
      <c r="E4" s="5" t="s">
        <v>36</v>
      </c>
      <c r="F4" s="5">
        <f>COUNTIF(Entity_Master!$J$2:$J$5000,"UK")</f>
        <v>0</v>
      </c>
    </row>
    <row r="5" spans="1:11">
      <c r="A5" t="s">
        <v>158</v>
      </c>
      <c r="B5" t="s">
        <v>159</v>
      </c>
      <c r="C5">
        <f>COUNTIF(VAT_Regulatory_Matrix!$L$2:$L$4050,"Due &lt;30d")</f>
        <v>0</v>
      </c>
      <c r="E5" s="5" t="s">
        <v>47</v>
      </c>
      <c r="F5" s="5">
        <f>COUNTIF(Entity_Master!$J$2:$J$5000,"EU")</f>
        <v>0</v>
      </c>
    </row>
    <row r="6" spans="1:11">
      <c r="A6" t="s">
        <v>160</v>
      </c>
      <c r="B6" t="s">
        <v>161</v>
      </c>
      <c r="C6">
        <f ca="1">COUNTIF(Renewal_Calendar!$K$2:$K$4841,"OVERDUE")</f>
        <v>0</v>
      </c>
      <c r="E6" s="5" t="s">
        <v>56</v>
      </c>
      <c r="F6" s="5">
        <f>COUNTIF(Entity_Master!$J$2:$J$5000,"US")</f>
        <v>0</v>
      </c>
    </row>
    <row r="7" spans="1:11">
      <c r="A7" t="s">
        <v>160</v>
      </c>
      <c r="B7" t="s">
        <v>162</v>
      </c>
      <c r="C7">
        <f ca="1">COUNTIF(Renewal_Calendar!$K$2:$K$4841,"DUE SOON")</f>
        <v>0</v>
      </c>
      <c r="E7" s="5" t="s">
        <v>66</v>
      </c>
      <c r="F7" s="5">
        <f>COUNTIF(Entity_Master!$J$2:$J$5000,"Germany")</f>
        <v>0</v>
      </c>
    </row>
    <row r="8" spans="1:11">
      <c r="E8" s="5" t="s">
        <v>72</v>
      </c>
      <c r="F8" s="5">
        <f>COUNTIF(Entity_Master!$J$2:$J$5000,"Italy")</f>
        <v>0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1"/>
  </sheetPr>
  <dimension ref="A1:H14"/>
  <sheetViews>
    <sheetView workbookViewId="0">
      <selection activeCell="B17" sqref="B17"/>
    </sheetView>
  </sheetViews>
  <sheetFormatPr defaultColWidth="8.81640625" defaultRowHeight="14.5"/>
  <cols>
    <col min="1" max="1" width="40" customWidth="1"/>
    <col min="2" max="2" width="22" customWidth="1"/>
  </cols>
  <sheetData>
    <row r="1" spans="1:8" ht="21">
      <c r="A1" s="52" t="s">
        <v>211</v>
      </c>
      <c r="B1" s="53"/>
      <c r="C1" s="53"/>
      <c r="D1" s="53"/>
      <c r="E1" s="53"/>
      <c r="F1" s="53"/>
      <c r="G1" s="53"/>
      <c r="H1" s="53"/>
    </row>
    <row r="3" spans="1:8">
      <c r="A3" t="s">
        <v>212</v>
      </c>
      <c r="B3">
        <f ca="1">TODAY()</f>
        <v>46109</v>
      </c>
    </row>
    <row r="5" spans="1:8" ht="15.5">
      <c r="A5" s="2" t="s">
        <v>213</v>
      </c>
    </row>
    <row r="6" spans="1:8" ht="15.5">
      <c r="A6" s="3" t="s">
        <v>214</v>
      </c>
      <c r="B6" s="3" t="s">
        <v>215</v>
      </c>
      <c r="D6" s="6" t="s">
        <v>216</v>
      </c>
    </row>
    <row r="7" spans="1:8">
      <c r="A7" s="4" t="s">
        <v>2</v>
      </c>
      <c r="B7" s="7">
        <f>COUNTA(Entity_Master!$A$2:$A$5000)</f>
        <v>11</v>
      </c>
      <c r="D7" t="s">
        <v>73</v>
      </c>
      <c r="E7">
        <f>COUNTIF(VAT_Regulatory_Matrix!$L$2:$L$4050,"Overdue")</f>
        <v>0</v>
      </c>
    </row>
    <row r="8" spans="1:8">
      <c r="A8" s="4" t="s">
        <v>157</v>
      </c>
      <c r="B8" s="7">
        <f>COUNTIF(Entity_Master!$U$2:$U$5000,"Active")</f>
        <v>0</v>
      </c>
      <c r="D8" t="s">
        <v>217</v>
      </c>
      <c r="E8">
        <f>COUNTIF(VAT_Regulatory_Matrix!$L$2:$L$4050,"Due &lt;30d")</f>
        <v>0</v>
      </c>
    </row>
    <row r="9" spans="1:8">
      <c r="A9" s="4" t="s">
        <v>3</v>
      </c>
      <c r="B9" s="7">
        <f>COUNTIF(VAT_Regulatory_Matrix!$L$2:$L$4050,"Overdue")</f>
        <v>0</v>
      </c>
      <c r="D9" t="s">
        <v>218</v>
      </c>
      <c r="E9">
        <f>COUNTIF(VAT_Regulatory_Matrix!$L$2:$L$4050,"On Track")</f>
        <v>0</v>
      </c>
    </row>
    <row r="10" spans="1:8">
      <c r="A10" s="4" t="s">
        <v>159</v>
      </c>
      <c r="B10" s="7">
        <f>COUNTIF(VAT_Regulatory_Matrix!$L$2:$L$4050,"Due &lt;30d")</f>
        <v>0</v>
      </c>
    </row>
    <row r="11" spans="1:8">
      <c r="A11" s="4" t="s">
        <v>4</v>
      </c>
      <c r="B11" s="7" t="e">
        <f>COUNTIF(Licenses_Regulatory!#REF!,"EXPIRED")</f>
        <v>#REF!</v>
      </c>
    </row>
    <row r="12" spans="1:8">
      <c r="A12" s="4" t="s">
        <v>219</v>
      </c>
      <c r="B12" s="7" t="e">
        <f>COUNTIF(Licenses_Regulatory!#REF!,"RENEW &lt;60d")</f>
        <v>#REF!</v>
      </c>
    </row>
    <row r="13" spans="1:8">
      <c r="A13" s="4" t="s">
        <v>220</v>
      </c>
      <c r="B13" s="7">
        <f ca="1">COUNTIF(Renewal_Calendar!$K$2:$K$4841,"OVERDUE")</f>
        <v>0</v>
      </c>
    </row>
    <row r="14" spans="1:8">
      <c r="A14" s="4" t="s">
        <v>221</v>
      </c>
      <c r="B14" s="7">
        <f ca="1">COUNTIF(Renewal_Calendar!$K$2:$K$4841,"DUE SOON")</f>
        <v>0</v>
      </c>
    </row>
  </sheetData>
  <mergeCells count="1">
    <mergeCell ref="A1:H1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1"/>
  </sheetPr>
  <dimension ref="A1:B8"/>
  <sheetViews>
    <sheetView workbookViewId="0"/>
  </sheetViews>
  <sheetFormatPr defaultColWidth="8.81640625" defaultRowHeight="14.5"/>
  <sheetData>
    <row r="1" spans="1:2" ht="18.5">
      <c r="A1" s="8" t="s">
        <v>224</v>
      </c>
    </row>
    <row r="2" spans="1:2">
      <c r="A2" s="1" t="s">
        <v>15</v>
      </c>
      <c r="B2" s="1" t="s">
        <v>225</v>
      </c>
    </row>
    <row r="3" spans="1:2">
      <c r="A3" t="s">
        <v>25</v>
      </c>
      <c r="B3">
        <f>COUNTIF(Entity_Master!J2:J5000,"UAE")</f>
        <v>0</v>
      </c>
    </row>
    <row r="4" spans="1:2">
      <c r="A4" t="s">
        <v>36</v>
      </c>
      <c r="B4">
        <f>COUNTIF(Entity_Master!J2:J5000,"UK")</f>
        <v>0</v>
      </c>
    </row>
    <row r="5" spans="1:2">
      <c r="A5" t="s">
        <v>47</v>
      </c>
      <c r="B5">
        <f>COUNTIF(Entity_Master!J2:J5000,"EU")</f>
        <v>0</v>
      </c>
    </row>
    <row r="6" spans="1:2">
      <c r="A6" t="s">
        <v>56</v>
      </c>
      <c r="B6">
        <f>COUNTIF(Entity_Master!J2:J5000,"US")</f>
        <v>0</v>
      </c>
    </row>
    <row r="7" spans="1:2">
      <c r="A7" t="s">
        <v>66</v>
      </c>
      <c r="B7">
        <f>COUNTIF(Entity_Master!J2:J5000,"Germany")</f>
        <v>0</v>
      </c>
    </row>
    <row r="8" spans="1:2">
      <c r="A8" t="s">
        <v>72</v>
      </c>
      <c r="B8">
        <f>COUNTIF(Entity_Master!J2:J5000,"Italy")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31</vt:i4>
      </vt:variant>
    </vt:vector>
  </HeadingPairs>
  <TitlesOfParts>
    <vt:vector size="51" baseType="lpstr">
      <vt:lpstr>Executive_Cover</vt:lpstr>
      <vt:lpstr>CONTROL_Cover</vt:lpstr>
      <vt:lpstr>Parameters</vt:lpstr>
      <vt:lpstr>Entity_Master</vt:lpstr>
      <vt:lpstr>Addresses</vt:lpstr>
      <vt:lpstr>Directors_Officers</vt:lpstr>
      <vt:lpstr>UBO_Register</vt:lpstr>
      <vt:lpstr>Bank_Accounts</vt:lpstr>
      <vt:lpstr>Signatories</vt:lpstr>
      <vt:lpstr>VAT_Regulatory_Matrix</vt:lpstr>
      <vt:lpstr>CT_Regulatory_Matrix</vt:lpstr>
      <vt:lpstr>Licenses_Regulatory</vt:lpstr>
      <vt:lpstr>Auditors</vt:lpstr>
      <vt:lpstr>Document_Control</vt:lpstr>
      <vt:lpstr>Controls_Log</vt:lpstr>
      <vt:lpstr>Top_10_Issues</vt:lpstr>
      <vt:lpstr>Renewal_Calendar</vt:lpstr>
      <vt:lpstr>Governance_Dashboard</vt:lpstr>
      <vt:lpstr>Board_Pack</vt:lpstr>
      <vt:lpstr>Risk_Heatmap</vt:lpstr>
      <vt:lpstr>AccountType</vt:lpstr>
      <vt:lpstr>AddressType</vt:lpstr>
      <vt:lpstr>AsOfDate</vt:lpstr>
      <vt:lpstr>Audit_Status</vt:lpstr>
      <vt:lpstr>AuditStatus</vt:lpstr>
      <vt:lpstr>BankAccountIDList</vt:lpstr>
      <vt:lpstr>BankAccountStatus</vt:lpstr>
      <vt:lpstr>Control_Status</vt:lpstr>
      <vt:lpstr>ControlRiskRating</vt:lpstr>
      <vt:lpstr>ControlStatus</vt:lpstr>
      <vt:lpstr>Currency</vt:lpstr>
      <vt:lpstr>DataProtectionRegime</vt:lpstr>
      <vt:lpstr>Document_Status</vt:lpstr>
      <vt:lpstr>DocumentType</vt:lpstr>
      <vt:lpstr>Entity_Status</vt:lpstr>
      <vt:lpstr>EntityIDList</vt:lpstr>
      <vt:lpstr>EntityStatus</vt:lpstr>
      <vt:lpstr>Filing_Frequency</vt:lpstr>
      <vt:lpstr>FilingFrequency</vt:lpstr>
      <vt:lpstr>Jurisdiction</vt:lpstr>
      <vt:lpstr>JurisdictionList</vt:lpstr>
      <vt:lpstr>JurisdictionTable</vt:lpstr>
      <vt:lpstr>Risk_Rating</vt:lpstr>
      <vt:lpstr>Role</vt:lpstr>
      <vt:lpstr>Signing_Authority</vt:lpstr>
      <vt:lpstr>SigningAuthority</vt:lpstr>
      <vt:lpstr>Tax_Regime</vt:lpstr>
      <vt:lpstr>TaxFilingStatus</vt:lpstr>
      <vt:lpstr>TaxRegime</vt:lpstr>
      <vt:lpstr>Yes_No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Saatvika Jain</cp:lastModifiedBy>
  <dcterms:created xsi:type="dcterms:W3CDTF">2026-02-06T11:37:04Z</dcterms:created>
  <dcterms:modified xsi:type="dcterms:W3CDTF">2026-03-28T07:39:10Z</dcterms:modified>
</cp:coreProperties>
</file>